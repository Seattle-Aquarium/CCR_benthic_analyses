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attle Aquarium Dropbox\Coastal_Climate_Resilience\GitHub\CCR_benthic_analyses\zooniverse-project\"/>
    </mc:Choice>
  </mc:AlternateContent>
  <xr:revisionPtr revIDLastSave="0" documentId="13_ncr:1_{8B3ED054-3CC7-4524-81C3-ED2A6F168358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ubject Set Tracker" sheetId="1" r:id="rId1"/>
    <sheet name="Export Log" sheetId="3" r:id="rId2"/>
    <sheet name="Summary 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3" i="1"/>
  <c r="C11" i="1"/>
  <c r="B7" i="4"/>
  <c r="B5" i="4"/>
  <c r="B15" i="4"/>
  <c r="B13" i="4"/>
  <c r="B11" i="4"/>
  <c r="B9" i="4"/>
  <c r="D4" i="4"/>
  <c r="B3" i="4"/>
</calcChain>
</file>

<file path=xl/sharedStrings.xml><?xml version="1.0" encoding="utf-8"?>
<sst xmlns="http://schemas.openxmlformats.org/spreadsheetml/2006/main" count="180" uniqueCount="91">
  <si>
    <t>Track transects, subject sets, image counts, upload status &amp; script versions</t>
  </si>
  <si>
    <t>Transect ID</t>
  </si>
  <si>
    <t>Site / Survey Area</t>
  </si>
  <si>
    <t>Date Surveyed</t>
  </si>
  <si>
    <t>Subject Set Name</t>
  </si>
  <si>
    <t>Subject Set ID</t>
  </si>
  <si>
    <t>Upload Date</t>
  </si>
  <si>
    <t>Export Date</t>
  </si>
  <si>
    <t>Export File Name</t>
  </si>
  <si>
    <t>Status</t>
  </si>
  <si>
    <t>Notes</t>
  </si>
  <si>
    <t>NorthBay_Nov2025</t>
  </si>
  <si>
    <t>2025-12-01</t>
  </si>
  <si>
    <t>NorthBay_Nov2025_export.csv</t>
  </si>
  <si>
    <t>Complete</t>
  </si>
  <si>
    <t>Awaiting Export</t>
  </si>
  <si>
    <t>In Progress</t>
  </si>
  <si>
    <t>Not Uploaded</t>
  </si>
  <si>
    <t>J. Smith</t>
  </si>
  <si>
    <t>📦  Classification Export Log</t>
  </si>
  <si>
    <t>Track every classification export download from Zooniverse</t>
  </si>
  <si>
    <t>Exported By</t>
  </si>
  <si>
    <t>Workflow Name</t>
  </si>
  <si>
    <t>Workflow ID</t>
  </si>
  <si>
    <t>Subject Set(s)</t>
  </si>
  <si>
    <t># Classifications</t>
  </si>
  <si>
    <t># Subjects Retired</t>
  </si>
  <si>
    <t>Storage Location</t>
  </si>
  <si>
    <t>Coral ID Workflow</t>
  </si>
  <si>
    <t>9876</t>
  </si>
  <si>
    <t>exports/2025-12/</t>
  </si>
  <si>
    <t>First complete export</t>
  </si>
  <si>
    <t>📊  Project Summary Dashboard</t>
  </si>
  <si>
    <t>Total Transects</t>
  </si>
  <si>
    <t>Last Updated</t>
  </si>
  <si>
    <t>Total Images Uploaded</t>
  </si>
  <si>
    <t>Status Legend</t>
  </si>
  <si>
    <t>Subject Sets Created</t>
  </si>
  <si>
    <t>On Hold</t>
  </si>
  <si>
    <t>2025_01_27_Centennial_T1</t>
  </si>
  <si>
    <t>2025_01_27_Centennial_T4</t>
  </si>
  <si>
    <t># Images</t>
  </si>
  <si>
    <t># Subjects
uploaded</t>
  </si>
  <si>
    <t>Elliott Bay / Centennial</t>
  </si>
  <si>
    <t>Elliott Bay / EBM</t>
  </si>
  <si>
    <t>Zooniverse Subject Set Tracker</t>
  </si>
  <si>
    <t>2025_01_28_EBM_T1</t>
  </si>
  <si>
    <t>2025_01_28_EBM_T4</t>
  </si>
  <si>
    <t>CNL_W25_T1</t>
  </si>
  <si>
    <t>EBM_W25_T1</t>
  </si>
  <si>
    <t>CNL_W25_T4</t>
  </si>
  <si>
    <t>EBM_W25_T4</t>
  </si>
  <si>
    <t>CNL_W25_T5</t>
  </si>
  <si>
    <t>EBM_W25_T5</t>
  </si>
  <si>
    <t>2025_01_28_EBM_T5</t>
  </si>
  <si>
    <t>2025_01_27_Centennial_T5</t>
  </si>
  <si>
    <t>Classification model EB_HSIL_2025_01_19</t>
  </si>
  <si>
    <t>2025_01_27_Centennial_T2</t>
  </si>
  <si>
    <t>2025_01_28_EBM_T2</t>
  </si>
  <si>
    <t>CNL_W25_T2</t>
  </si>
  <si>
    <t>EBM_W25_T2</t>
  </si>
  <si>
    <t>EBM_W25_T6</t>
  </si>
  <si>
    <t>CNL_W25_T6</t>
  </si>
  <si>
    <t>2025_01_27_Centennial_T6</t>
  </si>
  <si>
    <t>2025_01_28_EBM_T6</t>
  </si>
  <si>
    <t>CNL_W25_T3</t>
  </si>
  <si>
    <t>EBM_W25_T3</t>
  </si>
  <si>
    <t>2025_01_27_Centennial_T3</t>
  </si>
  <si>
    <t>2025_01_28_EBM_T3</t>
  </si>
  <si>
    <t>FPR_S25_T1</t>
  </si>
  <si>
    <t>Elliot Bay/ Fishing Pier</t>
  </si>
  <si>
    <t>FPR_S25_T2</t>
  </si>
  <si>
    <t>FPR_S25_T3</t>
  </si>
  <si>
    <t>PKB_S25_T1</t>
  </si>
  <si>
    <t>Elliott Bay / Pocket Beach</t>
  </si>
  <si>
    <t>CNL_S24_T1</t>
  </si>
  <si>
    <t>CNL_S24_T2</t>
  </si>
  <si>
    <t>CNL_S24_T3</t>
  </si>
  <si>
    <t>CNL_S24_T4</t>
  </si>
  <si>
    <t>CNL_S24_T5</t>
  </si>
  <si>
    <t>CNL_S24_T6</t>
  </si>
  <si>
    <t>EBM_S24_T1</t>
  </si>
  <si>
    <t>EBM_S24_T2</t>
  </si>
  <si>
    <t>EBM_S24_T3</t>
  </si>
  <si>
    <t>EBM_S24_T4</t>
  </si>
  <si>
    <t>EBM_S24_T6</t>
  </si>
  <si>
    <t>Not done in Zooniverse</t>
  </si>
  <si>
    <t>PKB_S25_T5</t>
  </si>
  <si>
    <t>Classification model EB_HSIL_2025_01_19, patch size 4.5x</t>
  </si>
  <si>
    <t>PKB_S25_T3</t>
  </si>
  <si>
    <t>PKB_S25_T2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</si>
</sst>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2E86C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5"/>
      <color rgb="FFFFFFFF"/>
      <name val="Arial"/>
      <family val="2"/>
    </font>
    <font>
      <b/>
      <sz val="11"/>
      <color rgb="FF1A5276"/>
      <name val="Arial"/>
      <family val="2"/>
    </font>
    <font>
      <b/>
      <sz val="14"/>
      <color rgb="FF1A5276"/>
      <name val="Arial"/>
      <family val="2"/>
    </font>
    <font>
      <b/>
      <sz val="12"/>
      <color rgb="FF1A5276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2E86C1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E67E22"/>
      </patternFill>
    </fill>
    <fill>
      <patternFill patternType="solid">
        <fgColor rgb="FFF2F3F4"/>
      </patternFill>
    </fill>
    <fill>
      <patternFill patternType="solid">
        <fgColor theme="0"/>
        <bgColor indexed="64"/>
      </patternFill>
    </fill>
    <fill>
      <patternFill patternType="solid">
        <fgColor rgb="FFD5F5E3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2E86C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DBDBD"/>
      </left>
      <right style="thin">
        <color rgb="FFBDBDBD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6" borderId="2" xfId="0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/>
    <xf numFmtId="0" fontId="7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10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0" fillId="9" borderId="2" xfId="0" applyFont="1" applyFill="1" applyBorder="1" applyAlignment="1">
      <alignment horizontal="left" vertical="center"/>
    </xf>
    <xf numFmtId="0" fontId="0" fillId="9" borderId="2" xfId="0" applyFill="1" applyBorder="1"/>
    <xf numFmtId="0" fontId="10" fillId="11" borderId="2" xfId="0" applyFont="1" applyFill="1" applyBorder="1" applyAlignment="1">
      <alignment horizontal="left" vertical="center"/>
    </xf>
    <xf numFmtId="0" fontId="0" fillId="11" borderId="2" xfId="0" applyFill="1" applyBorder="1"/>
    <xf numFmtId="0" fontId="7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165" fontId="4" fillId="3" borderId="3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wrapText="1"/>
    </xf>
    <xf numFmtId="165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0" fillId="0" borderId="5" xfId="0" applyBorder="1"/>
    <xf numFmtId="0" fontId="4" fillId="12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165" fontId="4" fillId="6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5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showGridLines="0" tabSelected="1" topLeftCell="D1" workbookViewId="0">
      <pane ySplit="3" topLeftCell="A24" activePane="bottomLeft" state="frozen"/>
      <selection pane="bottomLeft" activeCell="J33" sqref="J33"/>
    </sheetView>
  </sheetViews>
  <sheetFormatPr defaultRowHeight="14.4" x14ac:dyDescent="0.55000000000000004"/>
  <cols>
    <col min="1" max="1" width="14" customWidth="1"/>
    <col min="2" max="2" width="20" customWidth="1"/>
    <col min="3" max="3" width="14" customWidth="1"/>
    <col min="4" max="4" width="23.83984375" customWidth="1"/>
    <col min="5" max="5" width="14" customWidth="1"/>
    <col min="6" max="7" width="12" customWidth="1"/>
    <col min="8" max="9" width="13" customWidth="1"/>
    <col min="10" max="10" width="24" customWidth="1"/>
    <col min="11" max="11" width="14" customWidth="1"/>
    <col min="12" max="12" width="51.26171875" customWidth="1"/>
  </cols>
  <sheetData>
    <row r="1" spans="1:12" ht="32.049999999999997" customHeight="1" x14ac:dyDescent="0.55000000000000004">
      <c r="A1" s="58" t="s">
        <v>45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18" customHeight="1" x14ac:dyDescent="0.55000000000000004">
      <c r="A2" s="56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30" customHeight="1" thickBot="1" x14ac:dyDescent="0.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41</v>
      </c>
      <c r="G3" s="1" t="s">
        <v>42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55000000000000004">
      <c r="A4" s="51" t="s">
        <v>75</v>
      </c>
      <c r="B4" s="5" t="s">
        <v>43</v>
      </c>
      <c r="C4" s="53">
        <v>45573</v>
      </c>
      <c r="D4" s="52"/>
      <c r="E4" s="51"/>
      <c r="F4" s="51"/>
      <c r="G4" s="51"/>
      <c r="H4" s="53"/>
      <c r="I4" s="51"/>
      <c r="J4" s="51"/>
      <c r="K4" s="54"/>
      <c r="L4" s="52" t="s">
        <v>86</v>
      </c>
    </row>
    <row r="5" spans="1:12" x14ac:dyDescent="0.55000000000000004">
      <c r="A5" s="2" t="s">
        <v>76</v>
      </c>
      <c r="B5" s="3" t="s">
        <v>43</v>
      </c>
      <c r="C5" s="32">
        <v>45573</v>
      </c>
      <c r="D5" s="3"/>
      <c r="E5" s="2"/>
      <c r="F5" s="2"/>
      <c r="G5" s="2"/>
      <c r="H5" s="32"/>
      <c r="I5" s="2"/>
      <c r="J5" s="2"/>
      <c r="K5" s="54"/>
      <c r="L5" s="3" t="s">
        <v>86</v>
      </c>
    </row>
    <row r="6" spans="1:12" x14ac:dyDescent="0.55000000000000004">
      <c r="A6" s="51" t="s">
        <v>77</v>
      </c>
      <c r="B6" s="5" t="s">
        <v>43</v>
      </c>
      <c r="C6" s="53">
        <v>45573</v>
      </c>
      <c r="D6" s="52"/>
      <c r="E6" s="51"/>
      <c r="F6" s="51"/>
      <c r="G6" s="51"/>
      <c r="H6" s="53"/>
      <c r="I6" s="51"/>
      <c r="J6" s="51"/>
      <c r="K6" s="54"/>
      <c r="L6" s="52" t="s">
        <v>86</v>
      </c>
    </row>
    <row r="7" spans="1:12" x14ac:dyDescent="0.55000000000000004">
      <c r="A7" s="2" t="s">
        <v>78</v>
      </c>
      <c r="B7" s="3" t="s">
        <v>43</v>
      </c>
      <c r="C7" s="32">
        <v>45573</v>
      </c>
      <c r="D7" s="3"/>
      <c r="E7" s="2"/>
      <c r="F7" s="2"/>
      <c r="G7" s="2"/>
      <c r="H7" s="32"/>
      <c r="I7" s="2"/>
      <c r="J7" s="2"/>
      <c r="K7" s="54"/>
      <c r="L7" s="3" t="s">
        <v>86</v>
      </c>
    </row>
    <row r="8" spans="1:12" x14ac:dyDescent="0.55000000000000004">
      <c r="A8" s="51" t="s">
        <v>79</v>
      </c>
      <c r="B8" s="5" t="s">
        <v>43</v>
      </c>
      <c r="C8" s="53">
        <v>45573</v>
      </c>
      <c r="D8" s="52"/>
      <c r="E8" s="51"/>
      <c r="F8" s="51"/>
      <c r="G8" s="51"/>
      <c r="H8" s="53"/>
      <c r="I8" s="51"/>
      <c r="J8" s="51"/>
      <c r="K8" s="54"/>
      <c r="L8" s="52" t="s">
        <v>86</v>
      </c>
    </row>
    <row r="9" spans="1:12" x14ac:dyDescent="0.55000000000000004">
      <c r="A9" s="2" t="s">
        <v>80</v>
      </c>
      <c r="B9" s="3" t="s">
        <v>43</v>
      </c>
      <c r="C9" s="32">
        <v>45573</v>
      </c>
      <c r="D9" s="3"/>
      <c r="E9" s="2"/>
      <c r="F9" s="2"/>
      <c r="G9" s="2"/>
      <c r="H9" s="32"/>
      <c r="I9" s="2"/>
      <c r="J9" s="2"/>
      <c r="K9" s="54"/>
      <c r="L9" s="3" t="s">
        <v>86</v>
      </c>
    </row>
    <row r="10" spans="1:12" x14ac:dyDescent="0.55000000000000004">
      <c r="A10" s="51" t="s">
        <v>81</v>
      </c>
      <c r="B10" s="5" t="s">
        <v>44</v>
      </c>
      <c r="C10" s="53">
        <v>45574</v>
      </c>
      <c r="D10" s="52"/>
      <c r="E10" s="51"/>
      <c r="F10" s="51"/>
      <c r="G10" s="51"/>
      <c r="H10" s="53"/>
      <c r="I10" s="51"/>
      <c r="J10" s="51"/>
      <c r="K10" s="54"/>
      <c r="L10" s="52" t="s">
        <v>86</v>
      </c>
    </row>
    <row r="11" spans="1:12" x14ac:dyDescent="0.55000000000000004">
      <c r="A11" s="2" t="s">
        <v>82</v>
      </c>
      <c r="B11" s="3" t="s">
        <v>44</v>
      </c>
      <c r="C11" s="32">
        <f>$C$10</f>
        <v>45574</v>
      </c>
      <c r="D11" s="3"/>
      <c r="E11" s="2"/>
      <c r="F11" s="2"/>
      <c r="G11" s="2"/>
      <c r="H11" s="32"/>
      <c r="I11" s="2"/>
      <c r="J11" s="2"/>
      <c r="K11" s="54"/>
      <c r="L11" s="3" t="s">
        <v>86</v>
      </c>
    </row>
    <row r="12" spans="1:12" x14ac:dyDescent="0.55000000000000004">
      <c r="A12" s="51" t="s">
        <v>83</v>
      </c>
      <c r="B12" s="5" t="s">
        <v>44</v>
      </c>
      <c r="C12" s="53">
        <v>45574</v>
      </c>
      <c r="D12" s="52"/>
      <c r="E12" s="51"/>
      <c r="F12" s="51"/>
      <c r="G12" s="51"/>
      <c r="H12" s="53"/>
      <c r="I12" s="51"/>
      <c r="J12" s="51"/>
      <c r="K12" s="54"/>
      <c r="L12" s="52" t="s">
        <v>86</v>
      </c>
    </row>
    <row r="13" spans="1:12" x14ac:dyDescent="0.55000000000000004">
      <c r="A13" s="2" t="s">
        <v>84</v>
      </c>
      <c r="B13" s="3" t="s">
        <v>44</v>
      </c>
      <c r="C13" s="32">
        <f>$C$10</f>
        <v>45574</v>
      </c>
      <c r="D13" s="3"/>
      <c r="E13" s="2"/>
      <c r="F13" s="2"/>
      <c r="G13" s="2"/>
      <c r="H13" s="32"/>
      <c r="I13" s="2"/>
      <c r="J13" s="2"/>
      <c r="K13" s="54"/>
      <c r="L13" s="3" t="s">
        <v>86</v>
      </c>
    </row>
    <row r="14" spans="1:12" x14ac:dyDescent="0.55000000000000004">
      <c r="A14" s="51" t="s">
        <v>84</v>
      </c>
      <c r="B14" s="5" t="s">
        <v>44</v>
      </c>
      <c r="C14" s="53">
        <v>45574</v>
      </c>
      <c r="D14" s="52"/>
      <c r="E14" s="51"/>
      <c r="F14" s="51"/>
      <c r="G14" s="51"/>
      <c r="H14" s="53"/>
      <c r="I14" s="51"/>
      <c r="J14" s="51"/>
      <c r="K14" s="54"/>
      <c r="L14" s="52" t="s">
        <v>86</v>
      </c>
    </row>
    <row r="15" spans="1:12" x14ac:dyDescent="0.55000000000000004">
      <c r="A15" s="2" t="s">
        <v>85</v>
      </c>
      <c r="B15" s="3" t="s">
        <v>44</v>
      </c>
      <c r="C15" s="32">
        <f>$C$10</f>
        <v>45574</v>
      </c>
      <c r="D15" s="3"/>
      <c r="E15" s="2"/>
      <c r="F15" s="2"/>
      <c r="G15" s="2"/>
      <c r="H15" s="32"/>
      <c r="I15" s="2"/>
      <c r="J15" s="2"/>
      <c r="K15" s="54"/>
      <c r="L15" s="3" t="s">
        <v>86</v>
      </c>
    </row>
    <row r="16" spans="1:12" x14ac:dyDescent="0.55000000000000004">
      <c r="A16" s="51"/>
      <c r="B16" s="52"/>
      <c r="C16" s="53"/>
      <c r="D16" s="52"/>
      <c r="E16" s="51"/>
      <c r="F16" s="51"/>
      <c r="G16" s="51"/>
      <c r="H16" s="53"/>
      <c r="I16" s="51"/>
      <c r="J16" s="51"/>
      <c r="K16" s="51"/>
      <c r="L16" s="52"/>
    </row>
    <row r="17" spans="1:12" x14ac:dyDescent="0.55000000000000004">
      <c r="A17" s="2" t="s">
        <v>48</v>
      </c>
      <c r="B17" s="3" t="s">
        <v>43</v>
      </c>
      <c r="C17" s="32">
        <v>45684</v>
      </c>
      <c r="D17" s="3" t="s">
        <v>39</v>
      </c>
      <c r="E17" s="2">
        <v>135009</v>
      </c>
      <c r="F17" s="2">
        <v>66</v>
      </c>
      <c r="G17" s="2">
        <v>3100</v>
      </c>
      <c r="H17" s="32">
        <v>46105</v>
      </c>
      <c r="I17" s="2"/>
      <c r="J17" s="2"/>
      <c r="K17" s="54" t="s">
        <v>14</v>
      </c>
      <c r="L17" s="3" t="s">
        <v>56</v>
      </c>
    </row>
    <row r="18" spans="1:12" ht="18" customHeight="1" x14ac:dyDescent="0.55000000000000004">
      <c r="A18" s="4" t="s">
        <v>50</v>
      </c>
      <c r="B18" s="5" t="s">
        <v>43</v>
      </c>
      <c r="C18" s="33">
        <v>45684</v>
      </c>
      <c r="D18" s="5" t="s">
        <v>40</v>
      </c>
      <c r="E18" s="4">
        <v>135018</v>
      </c>
      <c r="F18" s="4">
        <v>71</v>
      </c>
      <c r="G18" s="4">
        <v>3350</v>
      </c>
      <c r="H18" s="33">
        <v>46105</v>
      </c>
      <c r="I18" s="4"/>
      <c r="J18" s="4"/>
      <c r="K18" s="54" t="s">
        <v>14</v>
      </c>
      <c r="L18" s="3" t="s">
        <v>56</v>
      </c>
    </row>
    <row r="19" spans="1:12" ht="18" customHeight="1" x14ac:dyDescent="0.55000000000000004">
      <c r="A19" s="2" t="s">
        <v>49</v>
      </c>
      <c r="B19" s="3" t="s">
        <v>44</v>
      </c>
      <c r="C19" s="32">
        <v>45685</v>
      </c>
      <c r="D19" s="3" t="s">
        <v>46</v>
      </c>
      <c r="E19" s="2">
        <v>135048</v>
      </c>
      <c r="F19" s="2">
        <v>64</v>
      </c>
      <c r="G19" s="2">
        <v>3000</v>
      </c>
      <c r="H19" s="32">
        <v>46105</v>
      </c>
      <c r="I19" s="2"/>
      <c r="J19" s="2"/>
      <c r="K19" s="54" t="s">
        <v>14</v>
      </c>
      <c r="L19" s="3" t="s">
        <v>56</v>
      </c>
    </row>
    <row r="20" spans="1:12" ht="18" customHeight="1" x14ac:dyDescent="0.55000000000000004">
      <c r="A20" s="4" t="s">
        <v>51</v>
      </c>
      <c r="B20" s="5" t="s">
        <v>44</v>
      </c>
      <c r="C20" s="33">
        <v>45685</v>
      </c>
      <c r="D20" s="5" t="s">
        <v>47</v>
      </c>
      <c r="E20" s="4">
        <v>135054</v>
      </c>
      <c r="F20" s="4">
        <v>62</v>
      </c>
      <c r="G20" s="4">
        <v>2900</v>
      </c>
      <c r="H20" s="33">
        <v>46105</v>
      </c>
      <c r="I20" s="4"/>
      <c r="J20" s="4"/>
      <c r="K20" s="54" t="s">
        <v>14</v>
      </c>
      <c r="L20" s="3" t="s">
        <v>56</v>
      </c>
    </row>
    <row r="21" spans="1:12" ht="18" customHeight="1" x14ac:dyDescent="0.55000000000000004">
      <c r="A21" s="2" t="s">
        <v>52</v>
      </c>
      <c r="B21" s="3" t="s">
        <v>43</v>
      </c>
      <c r="C21" s="32">
        <v>45684</v>
      </c>
      <c r="D21" s="3" t="s">
        <v>55</v>
      </c>
      <c r="E21" s="2">
        <v>135378</v>
      </c>
      <c r="F21" s="2">
        <v>66</v>
      </c>
      <c r="G21" s="2">
        <v>3300</v>
      </c>
      <c r="H21" s="32">
        <v>46117</v>
      </c>
      <c r="I21" s="2"/>
      <c r="J21" s="2"/>
      <c r="K21" s="54" t="s">
        <v>14</v>
      </c>
      <c r="L21" s="3" t="s">
        <v>56</v>
      </c>
    </row>
    <row r="22" spans="1:12" ht="18" customHeight="1" x14ac:dyDescent="0.55000000000000004">
      <c r="A22" s="4" t="s">
        <v>53</v>
      </c>
      <c r="B22" s="5" t="s">
        <v>44</v>
      </c>
      <c r="C22" s="33">
        <v>45685</v>
      </c>
      <c r="D22" s="5" t="s">
        <v>54</v>
      </c>
      <c r="E22" s="4">
        <v>135306</v>
      </c>
      <c r="F22" s="4">
        <v>56</v>
      </c>
      <c r="G22" s="4">
        <v>2800</v>
      </c>
      <c r="H22" s="33">
        <v>46115</v>
      </c>
      <c r="I22" s="4"/>
      <c r="J22" s="4"/>
      <c r="K22" s="54" t="s">
        <v>14</v>
      </c>
      <c r="L22" s="3" t="s">
        <v>56</v>
      </c>
    </row>
    <row r="23" spans="1:12" ht="18" customHeight="1" x14ac:dyDescent="0.55000000000000004">
      <c r="A23" s="2" t="s">
        <v>59</v>
      </c>
      <c r="B23" s="3" t="s">
        <v>43</v>
      </c>
      <c r="C23" s="32">
        <v>45684</v>
      </c>
      <c r="D23" s="3" t="s">
        <v>57</v>
      </c>
      <c r="E23" s="2">
        <v>135393</v>
      </c>
      <c r="F23" s="2">
        <v>60</v>
      </c>
      <c r="G23" s="2">
        <v>3000</v>
      </c>
      <c r="H23" s="32">
        <v>46118</v>
      </c>
      <c r="I23" s="2"/>
      <c r="J23" s="2"/>
      <c r="K23" s="54" t="s">
        <v>14</v>
      </c>
      <c r="L23" s="3" t="s">
        <v>56</v>
      </c>
    </row>
    <row r="24" spans="1:12" ht="18" customHeight="1" x14ac:dyDescent="0.55000000000000004">
      <c r="A24" s="4" t="s">
        <v>60</v>
      </c>
      <c r="B24" s="5" t="s">
        <v>44</v>
      </c>
      <c r="C24" s="33">
        <v>45685</v>
      </c>
      <c r="D24" s="5" t="s">
        <v>58</v>
      </c>
      <c r="E24" s="4">
        <v>135399</v>
      </c>
      <c r="F24" s="4">
        <v>60</v>
      </c>
      <c r="G24" s="4">
        <v>3000</v>
      </c>
      <c r="H24" s="33">
        <v>46118</v>
      </c>
      <c r="I24" s="4"/>
      <c r="J24" s="4"/>
      <c r="K24" s="54" t="s">
        <v>14</v>
      </c>
      <c r="L24" s="3" t="s">
        <v>56</v>
      </c>
    </row>
    <row r="25" spans="1:12" ht="18" customHeight="1" x14ac:dyDescent="0.55000000000000004">
      <c r="A25" s="2" t="s">
        <v>62</v>
      </c>
      <c r="B25" s="3" t="s">
        <v>43</v>
      </c>
      <c r="C25" s="32">
        <v>45684</v>
      </c>
      <c r="D25" s="3" t="s">
        <v>63</v>
      </c>
      <c r="E25" s="2">
        <v>135757</v>
      </c>
      <c r="F25" s="2">
        <v>64</v>
      </c>
      <c r="G25" s="2">
        <v>3200</v>
      </c>
      <c r="H25" s="32">
        <v>46132</v>
      </c>
      <c r="I25" s="2"/>
      <c r="J25" s="2"/>
      <c r="K25" s="54" t="s">
        <v>14</v>
      </c>
      <c r="L25" s="7" t="s">
        <v>56</v>
      </c>
    </row>
    <row r="26" spans="1:12" ht="18" customHeight="1" x14ac:dyDescent="0.55000000000000004">
      <c r="A26" s="4" t="s">
        <v>61</v>
      </c>
      <c r="B26" s="5" t="s">
        <v>44</v>
      </c>
      <c r="C26" s="33">
        <v>45685</v>
      </c>
      <c r="D26" s="5" t="s">
        <v>64</v>
      </c>
      <c r="E26" s="4">
        <v>135765</v>
      </c>
      <c r="F26" s="4">
        <v>58</v>
      </c>
      <c r="G26" s="4">
        <v>2900</v>
      </c>
      <c r="H26" s="33">
        <v>46132</v>
      </c>
      <c r="I26" s="4"/>
      <c r="J26" s="4"/>
      <c r="K26" s="54" t="s">
        <v>14</v>
      </c>
      <c r="L26" s="6" t="s">
        <v>56</v>
      </c>
    </row>
    <row r="27" spans="1:12" ht="18" customHeight="1" x14ac:dyDescent="0.55000000000000004">
      <c r="A27" s="2" t="s">
        <v>65</v>
      </c>
      <c r="B27" s="3" t="s">
        <v>43</v>
      </c>
      <c r="C27" s="32">
        <v>45684</v>
      </c>
      <c r="D27" s="3" t="s">
        <v>67</v>
      </c>
      <c r="E27" s="2">
        <v>135910</v>
      </c>
      <c r="F27" s="2">
        <v>60</v>
      </c>
      <c r="G27" s="2">
        <v>3000</v>
      </c>
      <c r="H27" s="32">
        <v>46135</v>
      </c>
      <c r="I27" s="2"/>
      <c r="J27" s="2"/>
      <c r="K27" s="54" t="s">
        <v>14</v>
      </c>
      <c r="L27" s="7" t="s">
        <v>56</v>
      </c>
    </row>
    <row r="28" spans="1:12" s="41" customFormat="1" ht="18" customHeight="1" thickBot="1" x14ac:dyDescent="0.6">
      <c r="A28" s="37" t="s">
        <v>66</v>
      </c>
      <c r="B28" s="38" t="s">
        <v>44</v>
      </c>
      <c r="C28" s="39">
        <v>45685</v>
      </c>
      <c r="D28" s="38" t="s">
        <v>68</v>
      </c>
      <c r="E28" s="37">
        <v>135913</v>
      </c>
      <c r="F28" s="37">
        <v>58</v>
      </c>
      <c r="G28" s="37">
        <v>2900</v>
      </c>
      <c r="H28" s="39">
        <v>46135</v>
      </c>
      <c r="I28" s="37"/>
      <c r="J28" s="37"/>
      <c r="K28" s="55" t="s">
        <v>14</v>
      </c>
      <c r="L28" s="40" t="s">
        <v>56</v>
      </c>
    </row>
    <row r="29" spans="1:12" ht="18" customHeight="1" x14ac:dyDescent="0.55000000000000004">
      <c r="A29" s="34" t="s">
        <v>69</v>
      </c>
      <c r="B29" s="35" t="s">
        <v>70</v>
      </c>
      <c r="C29" s="36">
        <v>45938</v>
      </c>
      <c r="D29" s="35" t="s">
        <v>69</v>
      </c>
      <c r="E29" s="34">
        <v>136807</v>
      </c>
      <c r="F29" s="34">
        <v>58</v>
      </c>
      <c r="G29" s="34">
        <v>2800</v>
      </c>
      <c r="H29" s="36">
        <v>46169</v>
      </c>
      <c r="I29" s="34"/>
      <c r="J29" s="34"/>
      <c r="K29" s="54" t="s">
        <v>14</v>
      </c>
      <c r="L29" s="35" t="s">
        <v>56</v>
      </c>
    </row>
    <row r="30" spans="1:12" ht="18" customHeight="1" x14ac:dyDescent="0.55000000000000004">
      <c r="A30" s="4" t="s">
        <v>71</v>
      </c>
      <c r="B30" s="42" t="s">
        <v>70</v>
      </c>
      <c r="C30" s="33">
        <v>45938</v>
      </c>
      <c r="D30" s="6" t="s">
        <v>71</v>
      </c>
      <c r="E30" s="4">
        <v>136811</v>
      </c>
      <c r="F30" s="4">
        <v>67</v>
      </c>
      <c r="G30" s="4">
        <v>3350</v>
      </c>
      <c r="H30" s="33">
        <v>46169</v>
      </c>
      <c r="I30" s="4"/>
      <c r="J30" s="4"/>
      <c r="K30" s="54" t="s">
        <v>14</v>
      </c>
      <c r="L30" s="6" t="s">
        <v>56</v>
      </c>
    </row>
    <row r="31" spans="1:12" s="41" customFormat="1" ht="18" customHeight="1" thickBot="1" x14ac:dyDescent="0.6">
      <c r="A31" s="46" t="s">
        <v>72</v>
      </c>
      <c r="B31" s="47" t="s">
        <v>70</v>
      </c>
      <c r="C31" s="48">
        <v>45938</v>
      </c>
      <c r="D31" s="47" t="s">
        <v>72</v>
      </c>
      <c r="E31" s="46">
        <v>136817</v>
      </c>
      <c r="F31" s="46">
        <v>82</v>
      </c>
      <c r="G31" s="46">
        <v>4100</v>
      </c>
      <c r="H31" s="49">
        <v>46169</v>
      </c>
      <c r="I31" s="46"/>
      <c r="J31" s="46"/>
      <c r="K31" s="55" t="s">
        <v>14</v>
      </c>
      <c r="L31" s="50" t="s">
        <v>56</v>
      </c>
    </row>
    <row r="32" spans="1:12" ht="18" customHeight="1" x14ac:dyDescent="0.55000000000000004">
      <c r="A32" s="43" t="s">
        <v>73</v>
      </c>
      <c r="B32" s="44" t="s">
        <v>74</v>
      </c>
      <c r="C32" s="45">
        <v>45883</v>
      </c>
      <c r="D32" s="44" t="s">
        <v>73</v>
      </c>
      <c r="E32" s="43">
        <v>137510</v>
      </c>
      <c r="F32" s="43">
        <v>70</v>
      </c>
      <c r="G32" s="43">
        <v>3500</v>
      </c>
      <c r="H32" s="45">
        <v>46211</v>
      </c>
      <c r="I32" s="43"/>
      <c r="J32" s="43"/>
      <c r="K32" s="43" t="s">
        <v>16</v>
      </c>
      <c r="L32" s="44" t="s">
        <v>88</v>
      </c>
    </row>
    <row r="33" spans="1:12" ht="18" customHeight="1" x14ac:dyDescent="0.55000000000000004">
      <c r="A33" s="2" t="s">
        <v>89</v>
      </c>
      <c r="B33" s="7" t="s">
        <v>74</v>
      </c>
      <c r="C33" s="32">
        <v>45883</v>
      </c>
      <c r="D33" s="7" t="s">
        <v>89</v>
      </c>
      <c r="E33" s="2">
        <v>137718</v>
      </c>
      <c r="F33" s="2">
        <v>79</v>
      </c>
      <c r="G33" s="2">
        <v>3750</v>
      </c>
      <c r="H33" s="32">
        <v>46213</v>
      </c>
      <c r="I33" s="2"/>
      <c r="J33" s="2"/>
      <c r="K33" s="2" t="s">
        <v>16</v>
      </c>
      <c r="L33" s="7" t="s">
        <v>88</v>
      </c>
    </row>
    <row r="34" spans="1:12" ht="18" customHeight="1" x14ac:dyDescent="0.55000000000000004">
      <c r="A34" s="43" t="s">
        <v>87</v>
      </c>
      <c r="B34" s="44" t="s">
        <v>74</v>
      </c>
      <c r="C34" s="45">
        <v>45883</v>
      </c>
      <c r="D34" s="44" t="s">
        <v>87</v>
      </c>
      <c r="E34" s="43">
        <v>138056</v>
      </c>
      <c r="F34" s="43">
        <v>79</v>
      </c>
      <c r="G34" s="43">
        <v>3950</v>
      </c>
      <c r="H34" s="45">
        <v>46235</v>
      </c>
      <c r="I34" s="43"/>
      <c r="J34" s="43"/>
      <c r="K34" s="43" t="s">
        <v>16</v>
      </c>
      <c r="L34" s="44" t="s">
        <v>88</v>
      </c>
    </row>
    <row r="35" spans="1:12" ht="18" customHeight="1" x14ac:dyDescent="0.55000000000000004">
      <c r="A35" s="7" t="s">
        <v>90</v>
      </c>
      <c r="B35" s="7" t="s">
        <v>74</v>
      </c>
      <c r="C35" s="32">
        <v>45883</v>
      </c>
      <c r="D35" s="7" t="s">
        <v>90</v>
      </c>
      <c r="E35" s="2">
        <v>138908</v>
      </c>
      <c r="F35" s="2">
        <v>60</v>
      </c>
      <c r="G35" s="2">
        <v>3000</v>
      </c>
      <c r="H35" s="32">
        <v>46278</v>
      </c>
      <c r="I35" s="2"/>
      <c r="J35" s="2"/>
      <c r="K35" s="2" t="s">
        <v>16</v>
      </c>
      <c r="L35" s="7" t="s">
        <v>88</v>
      </c>
    </row>
    <row r="36" spans="1:12" ht="18" customHeight="1" x14ac:dyDescent="0.55000000000000004">
      <c r="A36" s="4"/>
      <c r="B36" s="6"/>
      <c r="C36" s="33"/>
      <c r="D36" s="6"/>
      <c r="E36" s="4"/>
      <c r="F36" s="4"/>
      <c r="G36" s="4"/>
      <c r="H36" s="33"/>
      <c r="I36" s="4"/>
      <c r="J36" s="4"/>
      <c r="K36" s="4"/>
      <c r="L36" s="6"/>
    </row>
    <row r="37" spans="1:12" ht="18" customHeight="1" x14ac:dyDescent="0.55000000000000004">
      <c r="A37" s="2"/>
      <c r="B37" s="7"/>
      <c r="C37" s="32"/>
      <c r="D37" s="7"/>
      <c r="E37" s="2"/>
      <c r="F37" s="2"/>
      <c r="G37" s="2"/>
      <c r="H37" s="32"/>
      <c r="I37" s="2"/>
      <c r="J37" s="2"/>
      <c r="K37" s="2"/>
      <c r="L37" s="7"/>
    </row>
    <row r="38" spans="1:12" ht="18" customHeight="1" x14ac:dyDescent="0.55000000000000004">
      <c r="A38" s="4"/>
      <c r="B38" s="6"/>
      <c r="C38" s="33"/>
      <c r="D38" s="6"/>
      <c r="E38" s="4"/>
      <c r="F38" s="4"/>
      <c r="G38" s="4"/>
      <c r="H38" s="33"/>
      <c r="I38" s="4"/>
      <c r="J38" s="4"/>
      <c r="K38" s="4"/>
      <c r="L38" s="6"/>
    </row>
    <row r="39" spans="1:12" ht="18" customHeight="1" x14ac:dyDescent="0.55000000000000004">
      <c r="A39" s="2"/>
      <c r="B39" s="7"/>
      <c r="C39" s="32"/>
      <c r="D39" s="7"/>
      <c r="E39" s="2"/>
      <c r="F39" s="2"/>
      <c r="G39" s="2"/>
      <c r="H39" s="32"/>
      <c r="I39" s="2"/>
      <c r="J39" s="2"/>
      <c r="K39" s="2"/>
      <c r="L39" s="7"/>
    </row>
    <row r="40" spans="1:12" ht="18" customHeight="1" x14ac:dyDescent="0.55000000000000004">
      <c r="A40" s="4"/>
      <c r="B40" s="6"/>
      <c r="C40" s="33"/>
      <c r="D40" s="6"/>
      <c r="E40" s="4"/>
      <c r="F40" s="4"/>
      <c r="G40" s="4"/>
      <c r="H40" s="33"/>
      <c r="I40" s="4"/>
      <c r="J40" s="4"/>
      <c r="K40" s="4"/>
      <c r="L40" s="6"/>
    </row>
    <row r="41" spans="1:12" ht="18" customHeight="1" x14ac:dyDescent="0.55000000000000004">
      <c r="A41" s="2"/>
      <c r="B41" s="7"/>
      <c r="C41" s="32"/>
      <c r="D41" s="7"/>
      <c r="E41" s="2"/>
      <c r="F41" s="2"/>
      <c r="G41" s="2"/>
      <c r="H41" s="32"/>
      <c r="I41" s="2"/>
      <c r="J41" s="2"/>
      <c r="K41" s="2"/>
      <c r="L41" s="7"/>
    </row>
    <row r="42" spans="1:12" ht="18" customHeight="1" x14ac:dyDescent="0.55000000000000004">
      <c r="A42" s="4"/>
      <c r="B42" s="6"/>
      <c r="C42" s="33"/>
      <c r="D42" s="6"/>
      <c r="E42" s="4"/>
      <c r="F42" s="4"/>
      <c r="G42" s="4"/>
      <c r="H42" s="33"/>
      <c r="I42" s="4"/>
      <c r="J42" s="4"/>
      <c r="K42" s="4"/>
      <c r="L42" s="6"/>
    </row>
    <row r="43" spans="1:12" ht="18" customHeight="1" x14ac:dyDescent="0.55000000000000004">
      <c r="A43" s="2"/>
      <c r="B43" s="7"/>
      <c r="C43" s="32"/>
      <c r="D43" s="7"/>
      <c r="E43" s="2"/>
      <c r="F43" s="2"/>
      <c r="G43" s="2"/>
      <c r="H43" s="32"/>
      <c r="I43" s="2"/>
      <c r="J43" s="2"/>
      <c r="K43" s="2"/>
      <c r="L43" s="7"/>
    </row>
    <row r="44" spans="1:12" ht="18" customHeight="1" x14ac:dyDescent="0.55000000000000004">
      <c r="A44" s="4"/>
      <c r="B44" s="6"/>
      <c r="C44" s="33"/>
      <c r="D44" s="6"/>
      <c r="E44" s="4"/>
      <c r="F44" s="4"/>
      <c r="G44" s="4"/>
      <c r="H44" s="33"/>
      <c r="I44" s="4"/>
      <c r="J44" s="4"/>
      <c r="K44" s="4"/>
      <c r="L44" s="6"/>
    </row>
    <row r="45" spans="1:12" ht="18" customHeight="1" x14ac:dyDescent="0.55000000000000004">
      <c r="A45" s="2"/>
      <c r="B45" s="7"/>
      <c r="C45" s="32"/>
      <c r="D45" s="7"/>
      <c r="E45" s="2"/>
      <c r="F45" s="2"/>
      <c r="G45" s="2"/>
      <c r="H45" s="2"/>
      <c r="I45" s="2"/>
      <c r="J45" s="2"/>
      <c r="K45" s="2"/>
      <c r="L45" s="7"/>
    </row>
    <row r="46" spans="1:12" ht="18" customHeight="1" x14ac:dyDescent="0.55000000000000004">
      <c r="A46" s="4"/>
      <c r="B46" s="6"/>
      <c r="C46" s="33"/>
      <c r="D46" s="6"/>
      <c r="E46" s="4"/>
      <c r="F46" s="4"/>
      <c r="G46" s="4"/>
      <c r="H46" s="4"/>
      <c r="I46" s="4"/>
      <c r="J46" s="4"/>
      <c r="K46" s="4"/>
      <c r="L46" s="6"/>
    </row>
    <row r="47" spans="1:12" ht="18" customHeight="1" x14ac:dyDescent="0.55000000000000004">
      <c r="A47" s="2"/>
      <c r="B47" s="7"/>
      <c r="C47" s="32"/>
      <c r="D47" s="7"/>
      <c r="E47" s="2"/>
      <c r="F47" s="2"/>
      <c r="G47" s="2"/>
      <c r="H47" s="2"/>
      <c r="I47" s="2"/>
      <c r="J47" s="2"/>
      <c r="K47" s="2"/>
      <c r="L47" s="7"/>
    </row>
    <row r="48" spans="1:12" ht="18" customHeight="1" x14ac:dyDescent="0.55000000000000004">
      <c r="A48" s="4"/>
      <c r="B48" s="6"/>
      <c r="C48" s="33"/>
      <c r="D48" s="6"/>
      <c r="E48" s="4"/>
      <c r="F48" s="4"/>
      <c r="G48" s="4"/>
      <c r="H48" s="4"/>
      <c r="I48" s="4"/>
      <c r="J48" s="4"/>
      <c r="K48" s="4"/>
      <c r="L48" s="6"/>
    </row>
    <row r="49" spans="1:12" ht="18" customHeight="1" x14ac:dyDescent="0.55000000000000004">
      <c r="A49" s="2"/>
      <c r="B49" s="7"/>
      <c r="C49" s="32"/>
      <c r="D49" s="7"/>
      <c r="E49" s="2"/>
      <c r="F49" s="2"/>
      <c r="G49" s="2"/>
      <c r="H49" s="2"/>
      <c r="I49" s="2"/>
      <c r="J49" s="2"/>
      <c r="K49" s="2"/>
      <c r="L49" s="7"/>
    </row>
    <row r="50" spans="1:12" ht="18" customHeight="1" x14ac:dyDescent="0.55000000000000004">
      <c r="A50" s="4"/>
      <c r="B50" s="6"/>
      <c r="C50" s="33"/>
      <c r="D50" s="6"/>
      <c r="E50" s="4"/>
      <c r="F50" s="4"/>
      <c r="G50" s="4"/>
      <c r="H50" s="4"/>
      <c r="I50" s="4"/>
      <c r="J50" s="4"/>
      <c r="K50" s="4"/>
      <c r="L50" s="6"/>
    </row>
    <row r="51" spans="1:12" ht="18" customHeight="1" x14ac:dyDescent="0.55000000000000004">
      <c r="A51" s="2"/>
      <c r="B51" s="7"/>
      <c r="C51" s="32"/>
      <c r="D51" s="7"/>
      <c r="E51" s="2"/>
      <c r="F51" s="2"/>
      <c r="G51" s="2"/>
      <c r="H51" s="2"/>
      <c r="I51" s="2"/>
      <c r="J51" s="2"/>
      <c r="K51" s="2"/>
      <c r="L51" s="7"/>
    </row>
    <row r="52" spans="1:12" ht="18" customHeight="1" x14ac:dyDescent="0.55000000000000004">
      <c r="A52" s="4"/>
      <c r="B52" s="6"/>
      <c r="C52" s="33"/>
      <c r="D52" s="6"/>
      <c r="E52" s="4"/>
      <c r="F52" s="4"/>
      <c r="G52" s="4"/>
      <c r="H52" s="4"/>
      <c r="I52" s="4"/>
      <c r="J52" s="4"/>
      <c r="K52" s="4"/>
      <c r="L52" s="6"/>
    </row>
    <row r="53" spans="1:12" ht="18" customHeight="1" x14ac:dyDescent="0.55000000000000004">
      <c r="A53" s="2"/>
      <c r="B53" s="7"/>
      <c r="C53" s="32"/>
      <c r="D53" s="7"/>
      <c r="E53" s="2"/>
      <c r="F53" s="2"/>
      <c r="G53" s="2"/>
      <c r="H53" s="2"/>
      <c r="I53" s="2"/>
      <c r="J53" s="2"/>
      <c r="K53" s="2"/>
      <c r="L53" s="7"/>
    </row>
    <row r="54" spans="1:12" ht="18" customHeight="1" x14ac:dyDescent="0.55000000000000004">
      <c r="A54" s="4"/>
      <c r="B54" s="6"/>
      <c r="C54" s="33"/>
      <c r="D54" s="6"/>
      <c r="E54" s="4"/>
      <c r="F54" s="4"/>
      <c r="G54" s="4"/>
      <c r="H54" s="4"/>
      <c r="I54" s="4"/>
      <c r="J54" s="4"/>
      <c r="K54" s="4"/>
      <c r="L54" s="6"/>
    </row>
    <row r="55" spans="1:12" ht="18" customHeight="1" x14ac:dyDescent="0.55000000000000004">
      <c r="A55" s="2"/>
      <c r="B55" s="7"/>
      <c r="C55" s="32"/>
      <c r="D55" s="7"/>
      <c r="E55" s="2"/>
      <c r="F55" s="2"/>
      <c r="G55" s="2"/>
      <c r="H55" s="2"/>
      <c r="I55" s="2"/>
      <c r="J55" s="2"/>
      <c r="K55" s="2"/>
      <c r="L55" s="7"/>
    </row>
    <row r="56" spans="1:12" ht="18" customHeight="1" x14ac:dyDescent="0.55000000000000004">
      <c r="A56" s="4"/>
      <c r="B56" s="6"/>
      <c r="C56" s="33"/>
      <c r="D56" s="6"/>
      <c r="E56" s="4"/>
      <c r="F56" s="4"/>
      <c r="G56" s="4"/>
      <c r="H56" s="4"/>
      <c r="I56" s="4"/>
      <c r="J56" s="4"/>
      <c r="K56" s="4"/>
      <c r="L56" s="6"/>
    </row>
    <row r="57" spans="1:12" ht="18" customHeight="1" x14ac:dyDescent="0.55000000000000004">
      <c r="A57" s="2"/>
      <c r="B57" s="7"/>
      <c r="C57" s="32"/>
      <c r="D57" s="7"/>
      <c r="E57" s="2"/>
      <c r="F57" s="2"/>
      <c r="G57" s="2"/>
      <c r="H57" s="2"/>
      <c r="I57" s="2"/>
      <c r="J57" s="2"/>
      <c r="K57" s="2"/>
      <c r="L57" s="7"/>
    </row>
    <row r="58" spans="1:12" ht="18" customHeight="1" x14ac:dyDescent="0.55000000000000004">
      <c r="A58" s="4"/>
      <c r="B58" s="6"/>
      <c r="C58" s="33"/>
      <c r="D58" s="6"/>
      <c r="E58" s="4"/>
      <c r="F58" s="4"/>
      <c r="G58" s="4"/>
      <c r="H58" s="4"/>
      <c r="I58" s="4"/>
      <c r="J58" s="4"/>
      <c r="K58" s="4"/>
      <c r="L58" s="6"/>
    </row>
    <row r="59" spans="1:12" ht="18" customHeight="1" x14ac:dyDescent="0.55000000000000004">
      <c r="A59" s="2"/>
      <c r="B59" s="7"/>
      <c r="C59" s="2"/>
      <c r="D59" s="7"/>
      <c r="E59" s="2"/>
      <c r="F59" s="2"/>
      <c r="G59" s="2"/>
      <c r="H59" s="2"/>
      <c r="I59" s="2"/>
      <c r="J59" s="2"/>
      <c r="K59" s="2"/>
      <c r="L59" s="7"/>
    </row>
    <row r="60" spans="1:12" ht="18" customHeight="1" x14ac:dyDescent="0.55000000000000004">
      <c r="A60" s="4"/>
      <c r="B60" s="6"/>
      <c r="C60" s="4"/>
      <c r="D60" s="6"/>
      <c r="E60" s="4"/>
      <c r="F60" s="4"/>
      <c r="G60" s="4"/>
      <c r="H60" s="4"/>
      <c r="I60" s="4"/>
      <c r="J60" s="4"/>
      <c r="K60" s="4"/>
      <c r="L60" s="6"/>
    </row>
    <row r="61" spans="1:12" ht="18" customHeight="1" x14ac:dyDescent="0.55000000000000004">
      <c r="A61" s="2"/>
      <c r="B61" s="7"/>
      <c r="C61" s="2"/>
      <c r="D61" s="7"/>
      <c r="E61" s="2"/>
      <c r="F61" s="2"/>
      <c r="G61" s="2"/>
      <c r="H61" s="2"/>
      <c r="I61" s="2"/>
      <c r="J61" s="2"/>
      <c r="K61" s="2"/>
      <c r="L61" s="7"/>
    </row>
    <row r="62" spans="1:12" ht="18" customHeight="1" x14ac:dyDescent="0.55000000000000004">
      <c r="A62" s="4"/>
      <c r="B62" s="6"/>
      <c r="C62" s="4"/>
      <c r="D62" s="6"/>
      <c r="E62" s="4"/>
      <c r="F62" s="4"/>
      <c r="G62" s="4"/>
      <c r="H62" s="4"/>
      <c r="I62" s="4"/>
      <c r="J62" s="4"/>
      <c r="K62" s="4"/>
      <c r="L62" s="6"/>
    </row>
    <row r="63" spans="1:12" ht="18" customHeight="1" x14ac:dyDescent="0.55000000000000004">
      <c r="A63" s="2"/>
      <c r="B63" s="7"/>
      <c r="C63" s="2"/>
      <c r="D63" s="7"/>
      <c r="E63" s="2"/>
      <c r="F63" s="2"/>
      <c r="G63" s="2"/>
      <c r="H63" s="2"/>
      <c r="I63" s="2"/>
      <c r="J63" s="2"/>
      <c r="K63" s="2"/>
      <c r="L63" s="7"/>
    </row>
    <row r="64" spans="1:12" ht="18" customHeight="1" x14ac:dyDescent="0.55000000000000004">
      <c r="A64" s="4"/>
      <c r="B64" s="6"/>
      <c r="C64" s="4"/>
      <c r="D64" s="6"/>
      <c r="E64" s="4"/>
      <c r="F64" s="4"/>
      <c r="G64" s="4"/>
      <c r="H64" s="4"/>
      <c r="I64" s="4"/>
      <c r="J64" s="4"/>
      <c r="K64" s="4"/>
      <c r="L64" s="6"/>
    </row>
  </sheetData>
  <mergeCells count="2">
    <mergeCell ref="A2:L2"/>
    <mergeCell ref="A1:L1"/>
  </mergeCells>
  <phoneticPr fontId="11" type="noConversion"/>
  <dataValidations count="1">
    <dataValidation type="list" sqref="K4:K211" xr:uid="{00000000-0002-0000-0000-000000000000}">
      <formula1>"Not Uploaded,Uploaded,In Progress,Awaiting Export,Complete,On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showGridLines="0" workbookViewId="0">
      <pane ySplit="3" topLeftCell="A4" activePane="bottomLeft" state="frozen"/>
      <selection pane="bottomLeft" activeCell="C4" sqref="C4"/>
    </sheetView>
  </sheetViews>
  <sheetFormatPr defaultRowHeight="14.4" x14ac:dyDescent="0.55000000000000004"/>
  <cols>
    <col min="1" max="2" width="14" customWidth="1"/>
    <col min="3" max="3" width="20" customWidth="1"/>
    <col min="4" max="4" width="12" customWidth="1"/>
    <col min="5" max="5" width="20" customWidth="1"/>
    <col min="6" max="7" width="16" customWidth="1"/>
    <col min="8" max="10" width="28" customWidth="1"/>
  </cols>
  <sheetData>
    <row r="1" spans="1:10" ht="28" customHeight="1" x14ac:dyDescent="0.55000000000000004">
      <c r="A1" s="59" t="s">
        <v>19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6" customHeight="1" x14ac:dyDescent="0.55000000000000004">
      <c r="A2" s="56" t="s">
        <v>20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30" customHeight="1" x14ac:dyDescent="0.55000000000000004">
      <c r="A3" s="9" t="s">
        <v>7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8</v>
      </c>
      <c r="I3" s="9" t="s">
        <v>27</v>
      </c>
      <c r="J3" s="9" t="s">
        <v>10</v>
      </c>
    </row>
    <row r="4" spans="1:10" ht="18" customHeight="1" x14ac:dyDescent="0.55000000000000004">
      <c r="A4" s="10" t="s">
        <v>12</v>
      </c>
      <c r="B4" s="10" t="s">
        <v>18</v>
      </c>
      <c r="C4" s="10" t="s">
        <v>28</v>
      </c>
      <c r="D4" s="10" t="s">
        <v>29</v>
      </c>
      <c r="E4" s="10" t="s">
        <v>11</v>
      </c>
      <c r="F4" s="10">
        <v>1480</v>
      </c>
      <c r="G4" s="10">
        <v>120</v>
      </c>
      <c r="H4" s="10" t="s">
        <v>13</v>
      </c>
      <c r="I4" s="10" t="s">
        <v>30</v>
      </c>
      <c r="J4" s="10" t="s">
        <v>31</v>
      </c>
    </row>
    <row r="5" spans="1:10" ht="18" customHeight="1" x14ac:dyDescent="0.55000000000000004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8" customHeight="1" x14ac:dyDescent="0.55000000000000004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18" customHeight="1" x14ac:dyDescent="0.55000000000000004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8" customHeight="1" x14ac:dyDescent="0.55000000000000004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18" customHeight="1" x14ac:dyDescent="0.55000000000000004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18" customHeight="1" x14ac:dyDescent="0.55000000000000004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18" customHeight="1" x14ac:dyDescent="0.55000000000000004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 x14ac:dyDescent="0.55000000000000004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8" customHeight="1" x14ac:dyDescent="0.55000000000000004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8" customHeight="1" x14ac:dyDescent="0.55000000000000004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8" customHeight="1" x14ac:dyDescent="0.55000000000000004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8" customHeight="1" x14ac:dyDescent="0.55000000000000004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8" customHeight="1" x14ac:dyDescent="0.55000000000000004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8" customHeight="1" x14ac:dyDescent="0.55000000000000004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18" customHeight="1" x14ac:dyDescent="0.55000000000000004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8" customHeight="1" x14ac:dyDescent="0.55000000000000004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8" customHeight="1" x14ac:dyDescent="0.55000000000000004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8" customHeight="1" x14ac:dyDescent="0.55000000000000004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8" customHeight="1" x14ac:dyDescent="0.55000000000000004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8" customHeight="1" x14ac:dyDescent="0.5500000000000000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18" customHeight="1" x14ac:dyDescent="0.55000000000000004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8" customHeight="1" x14ac:dyDescent="0.55000000000000004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18" customHeight="1" x14ac:dyDescent="0.55000000000000004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8" customHeight="1" x14ac:dyDescent="0.55000000000000004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8" customHeight="1" x14ac:dyDescent="0.55000000000000004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 x14ac:dyDescent="0.55000000000000004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8" customHeight="1" x14ac:dyDescent="0.55000000000000004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8" customHeight="1" x14ac:dyDescent="0.55000000000000004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8" customHeight="1" x14ac:dyDescent="0.55000000000000004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8" customHeight="1" x14ac:dyDescent="0.55000000000000004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8" customHeight="1" x14ac:dyDescent="0.55000000000000004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8" customHeight="1" x14ac:dyDescent="0.55000000000000004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8" customHeight="1" x14ac:dyDescent="0.55000000000000004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8" customHeight="1" x14ac:dyDescent="0.55000000000000004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8" customHeight="1" x14ac:dyDescent="0.55000000000000004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8" customHeight="1" x14ac:dyDescent="0.55000000000000004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8" customHeight="1" x14ac:dyDescent="0.55000000000000004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8" customHeight="1" x14ac:dyDescent="0.55000000000000004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8" customHeight="1" x14ac:dyDescent="0.55000000000000004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8" customHeight="1" x14ac:dyDescent="0.5500000000000000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8" customHeight="1" x14ac:dyDescent="0.55000000000000004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8" customHeight="1" x14ac:dyDescent="0.55000000000000004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8" customHeight="1" x14ac:dyDescent="0.55000000000000004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8" customHeight="1" x14ac:dyDescent="0.55000000000000004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8" customHeight="1" x14ac:dyDescent="0.55000000000000004">
      <c r="A49" s="8"/>
      <c r="B49" s="8"/>
      <c r="C49" s="8"/>
      <c r="D49" s="8"/>
      <c r="E49" s="8"/>
      <c r="F49" s="8"/>
      <c r="G49" s="8"/>
      <c r="H49" s="8"/>
      <c r="I49" s="8"/>
      <c r="J49" s="8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workbookViewId="0">
      <selection activeCell="D7" sqref="D7"/>
    </sheetView>
  </sheetViews>
  <sheetFormatPr defaultRowHeight="14.4" x14ac:dyDescent="0.55000000000000004"/>
  <cols>
    <col min="1" max="1" width="28" customWidth="1"/>
    <col min="2" max="3" width="18" customWidth="1"/>
    <col min="4" max="4" width="28" customWidth="1"/>
    <col min="5" max="5" width="18" customWidth="1"/>
  </cols>
  <sheetData>
    <row r="1" spans="1:5" ht="30" customHeight="1" x14ac:dyDescent="0.55000000000000004">
      <c r="A1" s="61" t="s">
        <v>32</v>
      </c>
      <c r="B1" s="57"/>
      <c r="C1" s="57"/>
      <c r="D1" s="57"/>
      <c r="E1" s="57"/>
    </row>
    <row r="3" spans="1:5" ht="22" customHeight="1" x14ac:dyDescent="0.55000000000000004">
      <c r="A3" s="12" t="s">
        <v>33</v>
      </c>
      <c r="B3" s="13">
        <f>COUNTA('Subject Set Tracker'!A5:A211)</f>
        <v>30</v>
      </c>
      <c r="D3" s="60" t="s">
        <v>34</v>
      </c>
      <c r="E3" s="57"/>
    </row>
    <row r="4" spans="1:5" ht="15" x14ac:dyDescent="0.55000000000000004">
      <c r="D4" s="62">
        <f ca="1">TODAY()</f>
        <v>46278</v>
      </c>
      <c r="E4" s="57"/>
    </row>
    <row r="5" spans="1:5" ht="22" customHeight="1" x14ac:dyDescent="0.55000000000000004">
      <c r="A5" s="12" t="s">
        <v>35</v>
      </c>
      <c r="B5" s="13">
        <f>SUM('Subject Set Tracker'!F5:F211)</f>
        <v>1240</v>
      </c>
    </row>
    <row r="6" spans="1:5" x14ac:dyDescent="0.55000000000000004">
      <c r="D6" s="14" t="s">
        <v>36</v>
      </c>
      <c r="E6" s="15"/>
    </row>
    <row r="7" spans="1:5" ht="18" customHeight="1" x14ac:dyDescent="0.55000000000000004">
      <c r="A7" s="12" t="s">
        <v>37</v>
      </c>
      <c r="B7" s="13">
        <f>SUM('Subject Set Tracker'!G5:G211)</f>
        <v>60900</v>
      </c>
      <c r="D7" s="16" t="s">
        <v>14</v>
      </c>
      <c r="E7" s="17"/>
    </row>
    <row r="8" spans="1:5" ht="18" customHeight="1" x14ac:dyDescent="0.55000000000000004">
      <c r="D8" s="18" t="s">
        <v>16</v>
      </c>
      <c r="E8" s="19"/>
    </row>
    <row r="9" spans="1:5" ht="18" customHeight="1" x14ac:dyDescent="0.55000000000000004">
      <c r="A9" s="20" t="s">
        <v>14</v>
      </c>
      <c r="B9" s="21">
        <f>COUNTIF('Subject Set Tracker'!K5:K211,"Complete")</f>
        <v>15</v>
      </c>
      <c r="D9" s="22" t="s">
        <v>15</v>
      </c>
      <c r="E9" s="23"/>
    </row>
    <row r="10" spans="1:5" ht="18" customHeight="1" x14ac:dyDescent="0.55000000000000004">
      <c r="D10" s="24" t="s">
        <v>17</v>
      </c>
      <c r="E10" s="25"/>
    </row>
    <row r="11" spans="1:5" ht="18" customHeight="1" x14ac:dyDescent="0.55000000000000004">
      <c r="A11" s="12" t="s">
        <v>16</v>
      </c>
      <c r="B11" s="13">
        <f>COUNTIF('Subject Set Tracker'!K5:K211,"In Progress")</f>
        <v>4</v>
      </c>
      <c r="D11" s="26" t="s">
        <v>38</v>
      </c>
      <c r="E11" s="27"/>
    </row>
    <row r="13" spans="1:5" ht="22" customHeight="1" x14ac:dyDescent="0.55000000000000004">
      <c r="A13" s="28" t="s">
        <v>15</v>
      </c>
      <c r="B13" s="29">
        <f>COUNTIF('Subject Set Tracker'!K5:K211,"Awaiting Export")</f>
        <v>0</v>
      </c>
    </row>
    <row r="15" spans="1:5" ht="22" customHeight="1" x14ac:dyDescent="0.55000000000000004">
      <c r="A15" s="30" t="s">
        <v>17</v>
      </c>
      <c r="B15" s="31">
        <f>COUNTIF('Subject Set Tracker'!K5:K211,"Not Uploaded")</f>
        <v>0</v>
      </c>
    </row>
  </sheetData>
  <mergeCells count="3">
    <mergeCell ref="D3:E3"/>
    <mergeCell ref="A1:E1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 Set Tracker</vt:lpstr>
      <vt:lpstr>Export Log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Reid Thomson</cp:lastModifiedBy>
  <dcterms:created xsi:type="dcterms:W3CDTF">2026-03-24T19:50:14Z</dcterms:created>
  <dcterms:modified xsi:type="dcterms:W3CDTF">2026-09-13T21:02:31Z</dcterms:modified>
</cp:coreProperties>
</file>