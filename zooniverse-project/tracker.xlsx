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seattleaquarium-my.sharepoint.com/personal/m_williams_seattleaquarium_org/Documents/Documents/GitHub/CCR_benthic_analyses/zooniverse-project/"/>
    </mc:Choice>
  </mc:AlternateContent>
  <xr:revisionPtr revIDLastSave="85" documentId="11_EA5DE2B7583E395B7779DB9E9EBEE0E8D6C668C3" xr6:coauthVersionLast="47" xr6:coauthVersionMax="47" xr10:uidLastSave="{193547D9-1136-4937-8539-B64C0020E0E8}"/>
  <bookViews>
    <workbookView minimized="1" xWindow="426" yWindow="426" windowWidth="20724" windowHeight="12228" xr2:uid="{00000000-000D-0000-FFFF-FFFF00000000}"/>
  </bookViews>
  <sheets>
    <sheet name="Subject Set Tracker" sheetId="1" r:id="rId1"/>
    <sheet name="Script Version Log" sheetId="2" r:id="rId2"/>
    <sheet name="Export Log" sheetId="3" r:id="rId3"/>
    <sheet name="Summary Dashboar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4" l="1"/>
  <c r="B13" i="4"/>
  <c r="B11" i="4"/>
  <c r="B9" i="4"/>
  <c r="B7" i="4"/>
  <c r="B5" i="4"/>
  <c r="D4" i="4"/>
  <c r="B3" i="4"/>
</calcChain>
</file>

<file path=xl/sharedStrings.xml><?xml version="1.0" encoding="utf-8"?>
<sst xmlns="http://schemas.openxmlformats.org/spreadsheetml/2006/main" count="90" uniqueCount="71">
  <si>
    <t>Track transects, subject sets, image counts, upload status &amp; script versions</t>
  </si>
  <si>
    <t>Transect ID</t>
  </si>
  <si>
    <t>Site / Survey Area</t>
  </si>
  <si>
    <t>Date Surveyed</t>
  </si>
  <si>
    <t>Subject Set Name</t>
  </si>
  <si>
    <t>Subject Set ID</t>
  </si>
  <si>
    <t>Upload Date</t>
  </si>
  <si>
    <t>Upload Script Ver.</t>
  </si>
  <si>
    <t>Export Date</t>
  </si>
  <si>
    <t>Export Script Ver.</t>
  </si>
  <si>
    <t>Export File Name</t>
  </si>
  <si>
    <t>Status</t>
  </si>
  <si>
    <t>Notes</t>
  </si>
  <si>
    <t>NorthBay_Nov2025</t>
  </si>
  <si>
    <t>2025-12-01</t>
  </si>
  <si>
    <t>NorthBay_Nov2025_export.csv</t>
  </si>
  <si>
    <t>Complete</t>
  </si>
  <si>
    <t>Awaiting Export</t>
  </si>
  <si>
    <t>In Progress</t>
  </si>
  <si>
    <t>Not Uploaded</t>
  </si>
  <si>
    <t>📜  Script Version Log</t>
  </si>
  <si>
    <t>Record every version of import &amp; export scripts — link to Git commit if possible</t>
  </si>
  <si>
    <t>Script Type</t>
  </si>
  <si>
    <t>Version</t>
  </si>
  <si>
    <t>Date Released</t>
  </si>
  <si>
    <t>Author</t>
  </si>
  <si>
    <t>Git Commit / Tag</t>
  </si>
  <si>
    <t>Key Changes</t>
  </si>
  <si>
    <t>Import</t>
  </si>
  <si>
    <t>v1.0</t>
  </si>
  <si>
    <t>J. Smith</t>
  </si>
  <si>
    <t>📦  Classification Export Log</t>
  </si>
  <si>
    <t>Track every classification export download from Zooniverse</t>
  </si>
  <si>
    <t>Exported By</t>
  </si>
  <si>
    <t>Workflow Name</t>
  </si>
  <si>
    <t>Workflow ID</t>
  </si>
  <si>
    <t>Subject Set(s)</t>
  </si>
  <si>
    <t># Classifications</t>
  </si>
  <si>
    <t># Subjects Retired</t>
  </si>
  <si>
    <t>Storage Location</t>
  </si>
  <si>
    <t>Coral ID Workflow</t>
  </si>
  <si>
    <t>9876</t>
  </si>
  <si>
    <t>exports/2025-12/</t>
  </si>
  <si>
    <t>First complete export</t>
  </si>
  <si>
    <t>📊  Project Summary Dashboard</t>
  </si>
  <si>
    <t>Total Transects</t>
  </si>
  <si>
    <t>Last Updated</t>
  </si>
  <si>
    <t>Total Images Uploaded</t>
  </si>
  <si>
    <t>Status Legend</t>
  </si>
  <si>
    <t>Subject Sets Created</t>
  </si>
  <si>
    <t>On Hold</t>
  </si>
  <si>
    <t>2025_01_27_Centennial_T1</t>
  </si>
  <si>
    <t>2025_01_27_Centennial_T4</t>
  </si>
  <si>
    <t># Images</t>
  </si>
  <si>
    <t># Subjects
uploaded</t>
  </si>
  <si>
    <t>Elliott Bay / Centennial</t>
  </si>
  <si>
    <t>Elliott Bay / EBM</t>
  </si>
  <si>
    <t>Zooniverse Subject Set Tracker</t>
  </si>
  <si>
    <t>2025_01_28_EBM_T1</t>
  </si>
  <si>
    <t>2025_01_28_EBM_T4</t>
  </si>
  <si>
    <t>CNL_W25_T1</t>
  </si>
  <si>
    <t>EBM_W25_T1</t>
  </si>
  <si>
    <t>CNL_W25_T4</t>
  </si>
  <si>
    <t>EBM_W25_T4</t>
  </si>
  <si>
    <t>import_v1.0</t>
  </si>
  <si>
    <t>mhw</t>
  </si>
  <si>
    <t>Used for first import but had hard coding</t>
  </si>
  <si>
    <t>on Dropbox (upload_zooniverse_subjectset.py)</t>
  </si>
  <si>
    <t>Ran locally before Git</t>
  </si>
  <si>
    <t>v2.0</t>
  </si>
  <si>
    <t>Added .env file credentials, argparse for all setting, progress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</si>
</sst>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7" formatCode="yyyy\-mm\-dd;@"/>
  </numFmts>
  <fonts count="11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0"/>
      <color rgb="FF2E86C1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5"/>
      <color rgb="FFFFFFFF"/>
      <name val="Arial"/>
      <family val="2"/>
    </font>
    <font>
      <b/>
      <sz val="11"/>
      <color rgb="FF1A5276"/>
      <name val="Arial"/>
      <family val="2"/>
    </font>
    <font>
      <b/>
      <sz val="14"/>
      <color rgb="FF1A5276"/>
      <name val="Arial"/>
      <family val="2"/>
    </font>
    <font>
      <b/>
      <sz val="12"/>
      <color rgb="FF1A5276"/>
      <name val="Arial"/>
      <family val="2"/>
    </font>
    <font>
      <b/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A5276"/>
      </patternFill>
    </fill>
    <fill>
      <patternFill patternType="solid">
        <fgColor rgb="FFEBF5FB"/>
      </patternFill>
    </fill>
    <fill>
      <patternFill patternType="solid">
        <fgColor rgb="FF2E86C1"/>
      </patternFill>
    </fill>
    <fill>
      <patternFill patternType="solid">
        <fgColor rgb="FFD5F5E3"/>
      </patternFill>
    </fill>
    <fill>
      <patternFill patternType="solid">
        <fgColor rgb="FFFFFFFF"/>
      </patternFill>
    </fill>
    <fill>
      <patternFill patternType="solid">
        <fgColor rgb="FFFDEBD0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E67E22"/>
      </patternFill>
    </fill>
    <fill>
      <patternFill patternType="solid">
        <fgColor rgb="FFF2F3F4"/>
      </patternFill>
    </fill>
  </fills>
  <borders count="3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E86C1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6" borderId="2" xfId="0" applyFont="1" applyFill="1" applyBorder="1"/>
    <xf numFmtId="0" fontId="4" fillId="3" borderId="2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/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0" fillId="5" borderId="2" xfId="0" applyFont="1" applyFill="1" applyBorder="1" applyAlignment="1">
      <alignment horizontal="left" vertical="center"/>
    </xf>
    <xf numFmtId="0" fontId="0" fillId="5" borderId="2" xfId="0" applyFill="1" applyBorder="1"/>
    <xf numFmtId="0" fontId="10" fillId="8" borderId="2" xfId="0" applyFont="1" applyFill="1" applyBorder="1" applyAlignment="1">
      <alignment horizontal="left" vertical="center"/>
    </xf>
    <xf numFmtId="0" fontId="0" fillId="8" borderId="2" xfId="0" applyFill="1" applyBorder="1"/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0" fontId="0" fillId="7" borderId="2" xfId="0" applyFill="1" applyBorder="1"/>
    <xf numFmtId="0" fontId="10" fillId="9" borderId="2" xfId="0" applyFont="1" applyFill="1" applyBorder="1" applyAlignment="1">
      <alignment horizontal="left" vertical="center"/>
    </xf>
    <xf numFmtId="0" fontId="0" fillId="9" borderId="2" xfId="0" applyFill="1" applyBorder="1"/>
    <xf numFmtId="0" fontId="10" fillId="11" borderId="2" xfId="0" applyFont="1" applyFill="1" applyBorder="1" applyAlignment="1">
      <alignment horizontal="left" vertical="center"/>
    </xf>
    <xf numFmtId="0" fontId="0" fillId="11" borderId="2" xfId="0" applyFill="1" applyBorder="1"/>
    <xf numFmtId="0" fontId="7" fillId="7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7" fontId="4" fillId="6" borderId="2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left" vertical="center" wrapText="1"/>
    </xf>
    <xf numFmtId="167" fontId="4" fillId="6" borderId="2" xfId="0" applyNumberFormat="1" applyFont="1" applyFill="1" applyBorder="1" applyAlignment="1">
      <alignment horizontal="left" vertical="center" wrapText="1"/>
    </xf>
    <xf numFmtId="167" fontId="4" fillId="6" borderId="2" xfId="0" applyNumberFormat="1" applyFont="1" applyFill="1" applyBorder="1"/>
    <xf numFmtId="167" fontId="4" fillId="3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"/>
  <sheetViews>
    <sheetView showGridLines="0" tabSelected="1" workbookViewId="0">
      <pane ySplit="3" topLeftCell="A4" activePane="bottomLeft" state="frozen"/>
      <selection pane="bottomLeft" activeCell="E4" sqref="E4"/>
    </sheetView>
  </sheetViews>
  <sheetFormatPr defaultRowHeight="14.4" x14ac:dyDescent="0.55000000000000004"/>
  <cols>
    <col min="1" max="1" width="14" customWidth="1"/>
    <col min="2" max="2" width="20" customWidth="1"/>
    <col min="3" max="3" width="14" customWidth="1"/>
    <col min="4" max="4" width="22" customWidth="1"/>
    <col min="5" max="5" width="14" customWidth="1"/>
    <col min="6" max="7" width="12" customWidth="1"/>
    <col min="8" max="8" width="13" customWidth="1"/>
    <col min="9" max="9" width="14" customWidth="1"/>
    <col min="10" max="10" width="13" customWidth="1"/>
    <col min="11" max="11" width="14" customWidth="1"/>
    <col min="12" max="12" width="24" customWidth="1"/>
    <col min="13" max="13" width="14" customWidth="1"/>
    <col min="14" max="14" width="30" customWidth="1"/>
  </cols>
  <sheetData>
    <row r="1" spans="1:14" ht="32.049999999999997" customHeight="1" x14ac:dyDescent="0.55000000000000004">
      <c r="A1" s="36" t="s">
        <v>57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 x14ac:dyDescent="0.55000000000000004">
      <c r="A2" s="34" t="s">
        <v>0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30" customHeight="1" x14ac:dyDescent="0.55000000000000004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53</v>
      </c>
      <c r="G3" s="1" t="s">
        <v>54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</row>
    <row r="4" spans="1:14" ht="18" customHeight="1" x14ac:dyDescent="0.55000000000000004">
      <c r="A4" s="2" t="s">
        <v>60</v>
      </c>
      <c r="B4" s="3" t="s">
        <v>55</v>
      </c>
      <c r="C4" s="41">
        <v>45684</v>
      </c>
      <c r="D4" s="3" t="s">
        <v>51</v>
      </c>
      <c r="E4" s="2">
        <v>135009</v>
      </c>
      <c r="F4" s="2">
        <v>66</v>
      </c>
      <c r="G4" s="2">
        <v>3100</v>
      </c>
      <c r="H4" s="41">
        <v>46105</v>
      </c>
      <c r="I4" s="2" t="s">
        <v>64</v>
      </c>
      <c r="J4" s="2"/>
      <c r="K4" s="2"/>
      <c r="L4" s="2"/>
      <c r="M4" s="6" t="s">
        <v>18</v>
      </c>
      <c r="N4" s="3"/>
    </row>
    <row r="5" spans="1:14" ht="18" customHeight="1" x14ac:dyDescent="0.55000000000000004">
      <c r="A5" s="4" t="s">
        <v>62</v>
      </c>
      <c r="B5" s="5" t="s">
        <v>55</v>
      </c>
      <c r="C5" s="42">
        <v>45684</v>
      </c>
      <c r="D5" s="5" t="s">
        <v>52</v>
      </c>
      <c r="E5" s="4">
        <v>135018</v>
      </c>
      <c r="F5" s="4">
        <v>71</v>
      </c>
      <c r="G5" s="4">
        <v>3350</v>
      </c>
      <c r="H5" s="42">
        <v>46105</v>
      </c>
      <c r="I5" s="4" t="s">
        <v>64</v>
      </c>
      <c r="J5" s="4"/>
      <c r="K5" s="4"/>
      <c r="L5" s="4"/>
      <c r="M5" s="6" t="s">
        <v>18</v>
      </c>
      <c r="N5" s="5"/>
    </row>
    <row r="6" spans="1:14" ht="18" customHeight="1" x14ac:dyDescent="0.55000000000000004">
      <c r="A6" s="2" t="s">
        <v>61</v>
      </c>
      <c r="B6" s="3" t="s">
        <v>56</v>
      </c>
      <c r="C6" s="41">
        <v>45685</v>
      </c>
      <c r="D6" s="3" t="s">
        <v>58</v>
      </c>
      <c r="E6" s="2">
        <v>135048</v>
      </c>
      <c r="F6" s="2">
        <v>64</v>
      </c>
      <c r="G6" s="2">
        <v>3000</v>
      </c>
      <c r="H6" s="41">
        <v>46105</v>
      </c>
      <c r="I6" s="2" t="s">
        <v>64</v>
      </c>
      <c r="J6" s="2"/>
      <c r="K6" s="2"/>
      <c r="L6" s="2"/>
      <c r="M6" s="6" t="s">
        <v>18</v>
      </c>
      <c r="N6" s="3"/>
    </row>
    <row r="7" spans="1:14" ht="18" customHeight="1" x14ac:dyDescent="0.55000000000000004">
      <c r="A7" s="4" t="s">
        <v>63</v>
      </c>
      <c r="B7" s="5" t="s">
        <v>56</v>
      </c>
      <c r="C7" s="42">
        <v>45685</v>
      </c>
      <c r="D7" s="5" t="s">
        <v>59</v>
      </c>
      <c r="E7" s="4">
        <v>135054</v>
      </c>
      <c r="F7" s="4">
        <v>62</v>
      </c>
      <c r="G7" s="4">
        <v>2900</v>
      </c>
      <c r="H7" s="42">
        <v>46105</v>
      </c>
      <c r="I7" s="4" t="s">
        <v>64</v>
      </c>
      <c r="J7" s="4"/>
      <c r="K7" s="4"/>
      <c r="L7" s="4"/>
      <c r="M7" s="6" t="s">
        <v>18</v>
      </c>
      <c r="N7" s="5"/>
    </row>
    <row r="8" spans="1:14" ht="18" customHeight="1" x14ac:dyDescent="0.55000000000000004">
      <c r="A8" s="4"/>
      <c r="B8" s="7"/>
      <c r="C8" s="42"/>
      <c r="D8" s="7"/>
      <c r="E8" s="4"/>
      <c r="F8" s="4"/>
      <c r="G8" s="4"/>
      <c r="H8" s="42"/>
      <c r="I8" s="4"/>
      <c r="J8" s="4"/>
      <c r="K8" s="4"/>
      <c r="L8" s="4"/>
      <c r="M8" s="4"/>
      <c r="N8" s="7"/>
    </row>
    <row r="9" spans="1:14" ht="18" customHeight="1" x14ac:dyDescent="0.55000000000000004">
      <c r="A9" s="2"/>
      <c r="B9" s="8"/>
      <c r="C9" s="41"/>
      <c r="D9" s="8"/>
      <c r="E9" s="2"/>
      <c r="F9" s="2"/>
      <c r="G9" s="2"/>
      <c r="H9" s="41"/>
      <c r="I9" s="2"/>
      <c r="J9" s="2"/>
      <c r="K9" s="2"/>
      <c r="L9" s="2"/>
      <c r="M9" s="2"/>
      <c r="N9" s="8"/>
    </row>
    <row r="10" spans="1:14" ht="18" customHeight="1" x14ac:dyDescent="0.55000000000000004">
      <c r="A10" s="4"/>
      <c r="B10" s="7"/>
      <c r="C10" s="42"/>
      <c r="D10" s="7"/>
      <c r="E10" s="4"/>
      <c r="F10" s="4"/>
      <c r="G10" s="4"/>
      <c r="H10" s="42"/>
      <c r="I10" s="4"/>
      <c r="J10" s="4"/>
      <c r="K10" s="4"/>
      <c r="L10" s="4"/>
      <c r="M10" s="4"/>
      <c r="N10" s="7"/>
    </row>
    <row r="11" spans="1:14" ht="18" customHeight="1" x14ac:dyDescent="0.55000000000000004">
      <c r="A11" s="2"/>
      <c r="B11" s="8"/>
      <c r="C11" s="41"/>
      <c r="D11" s="8"/>
      <c r="E11" s="2"/>
      <c r="F11" s="2"/>
      <c r="G11" s="2"/>
      <c r="H11" s="41"/>
      <c r="I11" s="2"/>
      <c r="J11" s="2"/>
      <c r="K11" s="2"/>
      <c r="L11" s="2"/>
      <c r="M11" s="2"/>
      <c r="N11" s="8"/>
    </row>
    <row r="12" spans="1:14" ht="18" customHeight="1" x14ac:dyDescent="0.55000000000000004">
      <c r="A12" s="4"/>
      <c r="B12" s="7"/>
      <c r="C12" s="42"/>
      <c r="D12" s="7"/>
      <c r="E12" s="4"/>
      <c r="F12" s="4"/>
      <c r="G12" s="4"/>
      <c r="H12" s="42"/>
      <c r="I12" s="4"/>
      <c r="J12" s="4"/>
      <c r="K12" s="4"/>
      <c r="L12" s="4"/>
      <c r="M12" s="4"/>
      <c r="N12" s="7"/>
    </row>
    <row r="13" spans="1:14" ht="18" customHeight="1" x14ac:dyDescent="0.55000000000000004">
      <c r="A13" s="2"/>
      <c r="B13" s="8"/>
      <c r="C13" s="41"/>
      <c r="D13" s="8"/>
      <c r="E13" s="2"/>
      <c r="F13" s="2"/>
      <c r="G13" s="2"/>
      <c r="H13" s="41"/>
      <c r="I13" s="2"/>
      <c r="J13" s="2"/>
      <c r="K13" s="2"/>
      <c r="L13" s="2"/>
      <c r="M13" s="2"/>
      <c r="N13" s="8"/>
    </row>
    <row r="14" spans="1:14" ht="18" customHeight="1" x14ac:dyDescent="0.55000000000000004">
      <c r="A14" s="4"/>
      <c r="B14" s="7"/>
      <c r="C14" s="42"/>
      <c r="D14" s="7"/>
      <c r="E14" s="4"/>
      <c r="F14" s="4"/>
      <c r="G14" s="4"/>
      <c r="H14" s="42"/>
      <c r="I14" s="4"/>
      <c r="J14" s="4"/>
      <c r="K14" s="4"/>
      <c r="L14" s="4"/>
      <c r="M14" s="4"/>
      <c r="N14" s="7"/>
    </row>
    <row r="15" spans="1:14" ht="18" customHeight="1" x14ac:dyDescent="0.55000000000000004">
      <c r="A15" s="2"/>
      <c r="B15" s="8"/>
      <c r="C15" s="41"/>
      <c r="D15" s="8"/>
      <c r="E15" s="2"/>
      <c r="F15" s="2"/>
      <c r="G15" s="2"/>
      <c r="H15" s="41"/>
      <c r="I15" s="2"/>
      <c r="J15" s="2"/>
      <c r="K15" s="2"/>
      <c r="L15" s="2"/>
      <c r="M15" s="2"/>
      <c r="N15" s="8"/>
    </row>
    <row r="16" spans="1:14" ht="18" customHeight="1" x14ac:dyDescent="0.55000000000000004">
      <c r="A16" s="4"/>
      <c r="B16" s="7"/>
      <c r="C16" s="42"/>
      <c r="D16" s="7"/>
      <c r="E16" s="4"/>
      <c r="F16" s="4"/>
      <c r="G16" s="4"/>
      <c r="H16" s="42"/>
      <c r="I16" s="4"/>
      <c r="J16" s="4"/>
      <c r="K16" s="4"/>
      <c r="L16" s="4"/>
      <c r="M16" s="4"/>
      <c r="N16" s="7"/>
    </row>
    <row r="17" spans="1:14" ht="18" customHeight="1" x14ac:dyDescent="0.55000000000000004">
      <c r="A17" s="2"/>
      <c r="B17" s="8"/>
      <c r="C17" s="41"/>
      <c r="D17" s="8"/>
      <c r="E17" s="2"/>
      <c r="F17" s="2"/>
      <c r="G17" s="2"/>
      <c r="H17" s="41"/>
      <c r="I17" s="2"/>
      <c r="J17" s="2"/>
      <c r="K17" s="2"/>
      <c r="L17" s="2"/>
      <c r="M17" s="2"/>
      <c r="N17" s="8"/>
    </row>
    <row r="18" spans="1:14" ht="18" customHeight="1" x14ac:dyDescent="0.55000000000000004">
      <c r="A18" s="4"/>
      <c r="B18" s="7"/>
      <c r="C18" s="42"/>
      <c r="D18" s="7"/>
      <c r="E18" s="4"/>
      <c r="F18" s="4"/>
      <c r="G18" s="4"/>
      <c r="H18" s="42"/>
      <c r="I18" s="4"/>
      <c r="J18" s="4"/>
      <c r="K18" s="4"/>
      <c r="L18" s="4"/>
      <c r="M18" s="4"/>
      <c r="N18" s="7"/>
    </row>
    <row r="19" spans="1:14" ht="18" customHeight="1" x14ac:dyDescent="0.55000000000000004">
      <c r="A19" s="2"/>
      <c r="B19" s="8"/>
      <c r="C19" s="41"/>
      <c r="D19" s="8"/>
      <c r="E19" s="2"/>
      <c r="F19" s="2"/>
      <c r="G19" s="2"/>
      <c r="H19" s="41"/>
      <c r="I19" s="2"/>
      <c r="J19" s="2"/>
      <c r="K19" s="2"/>
      <c r="L19" s="2"/>
      <c r="M19" s="2"/>
      <c r="N19" s="8"/>
    </row>
    <row r="20" spans="1:14" ht="18" customHeight="1" x14ac:dyDescent="0.55000000000000004">
      <c r="A20" s="4"/>
      <c r="B20" s="7"/>
      <c r="C20" s="42"/>
      <c r="D20" s="7"/>
      <c r="E20" s="4"/>
      <c r="F20" s="4"/>
      <c r="G20" s="4"/>
      <c r="H20" s="42"/>
      <c r="I20" s="4"/>
      <c r="J20" s="4"/>
      <c r="K20" s="4"/>
      <c r="L20" s="4"/>
      <c r="M20" s="4"/>
      <c r="N20" s="7"/>
    </row>
    <row r="21" spans="1:14" ht="18" customHeight="1" x14ac:dyDescent="0.55000000000000004">
      <c r="A21" s="2"/>
      <c r="B21" s="8"/>
      <c r="C21" s="41"/>
      <c r="D21" s="8"/>
      <c r="E21" s="2"/>
      <c r="F21" s="2"/>
      <c r="G21" s="2"/>
      <c r="H21" s="41"/>
      <c r="I21" s="2"/>
      <c r="J21" s="2"/>
      <c r="K21" s="2"/>
      <c r="L21" s="2"/>
      <c r="M21" s="2"/>
      <c r="N21" s="8"/>
    </row>
    <row r="22" spans="1:14" ht="18" customHeight="1" x14ac:dyDescent="0.55000000000000004">
      <c r="A22" s="4"/>
      <c r="B22" s="7"/>
      <c r="C22" s="42"/>
      <c r="D22" s="7"/>
      <c r="E22" s="4"/>
      <c r="F22" s="4"/>
      <c r="G22" s="4"/>
      <c r="H22" s="42"/>
      <c r="I22" s="4"/>
      <c r="J22" s="4"/>
      <c r="K22" s="4"/>
      <c r="L22" s="4"/>
      <c r="M22" s="4"/>
      <c r="N22" s="7"/>
    </row>
    <row r="23" spans="1:14" ht="18" customHeight="1" x14ac:dyDescent="0.55000000000000004">
      <c r="A23" s="2"/>
      <c r="B23" s="8"/>
      <c r="C23" s="41"/>
      <c r="D23" s="8"/>
      <c r="E23" s="2"/>
      <c r="F23" s="2"/>
      <c r="G23" s="2"/>
      <c r="H23" s="41"/>
      <c r="I23" s="2"/>
      <c r="J23" s="2"/>
      <c r="K23" s="2"/>
      <c r="L23" s="2"/>
      <c r="M23" s="2"/>
      <c r="N23" s="8"/>
    </row>
    <row r="24" spans="1:14" ht="18" customHeight="1" x14ac:dyDescent="0.55000000000000004">
      <c r="A24" s="4"/>
      <c r="B24" s="7"/>
      <c r="C24" s="42"/>
      <c r="D24" s="7"/>
      <c r="E24" s="4"/>
      <c r="F24" s="4"/>
      <c r="G24" s="4"/>
      <c r="H24" s="42"/>
      <c r="I24" s="4"/>
      <c r="J24" s="4"/>
      <c r="K24" s="4"/>
      <c r="L24" s="4"/>
      <c r="M24" s="4"/>
      <c r="N24" s="7"/>
    </row>
    <row r="25" spans="1:14" ht="18" customHeight="1" x14ac:dyDescent="0.55000000000000004">
      <c r="A25" s="2"/>
      <c r="B25" s="8"/>
      <c r="C25" s="41"/>
      <c r="D25" s="8"/>
      <c r="E25" s="2"/>
      <c r="F25" s="2"/>
      <c r="G25" s="2"/>
      <c r="H25" s="41"/>
      <c r="I25" s="2"/>
      <c r="J25" s="2"/>
      <c r="K25" s="2"/>
      <c r="L25" s="2"/>
      <c r="M25" s="2"/>
      <c r="N25" s="8"/>
    </row>
    <row r="26" spans="1:14" ht="18" customHeight="1" x14ac:dyDescent="0.55000000000000004">
      <c r="A26" s="4"/>
      <c r="B26" s="7"/>
      <c r="C26" s="42"/>
      <c r="D26" s="7"/>
      <c r="E26" s="4"/>
      <c r="F26" s="4"/>
      <c r="G26" s="4"/>
      <c r="H26" s="42"/>
      <c r="I26" s="4"/>
      <c r="J26" s="4"/>
      <c r="K26" s="4"/>
      <c r="L26" s="4"/>
      <c r="M26" s="4"/>
      <c r="N26" s="7"/>
    </row>
    <row r="27" spans="1:14" ht="18" customHeight="1" x14ac:dyDescent="0.55000000000000004">
      <c r="A27" s="2"/>
      <c r="B27" s="8"/>
      <c r="C27" s="41"/>
      <c r="D27" s="8"/>
      <c r="E27" s="2"/>
      <c r="F27" s="2"/>
      <c r="G27" s="2"/>
      <c r="H27" s="41"/>
      <c r="I27" s="2"/>
      <c r="J27" s="2"/>
      <c r="K27" s="2"/>
      <c r="L27" s="2"/>
      <c r="M27" s="2"/>
      <c r="N27" s="8"/>
    </row>
    <row r="28" spans="1:14" ht="18" customHeight="1" x14ac:dyDescent="0.55000000000000004">
      <c r="A28" s="4"/>
      <c r="B28" s="7"/>
      <c r="C28" s="42"/>
      <c r="D28" s="7"/>
      <c r="E28" s="4"/>
      <c r="F28" s="4"/>
      <c r="G28" s="4"/>
      <c r="H28" s="42"/>
      <c r="I28" s="4"/>
      <c r="J28" s="4"/>
      <c r="K28" s="4"/>
      <c r="L28" s="4"/>
      <c r="M28" s="4"/>
      <c r="N28" s="7"/>
    </row>
    <row r="29" spans="1:14" ht="18" customHeight="1" x14ac:dyDescent="0.55000000000000004">
      <c r="A29" s="2"/>
      <c r="B29" s="8"/>
      <c r="C29" s="41"/>
      <c r="D29" s="8"/>
      <c r="E29" s="2"/>
      <c r="F29" s="2"/>
      <c r="G29" s="2"/>
      <c r="H29" s="41"/>
      <c r="I29" s="2"/>
      <c r="J29" s="2"/>
      <c r="K29" s="2"/>
      <c r="L29" s="2"/>
      <c r="M29" s="2"/>
      <c r="N29" s="8"/>
    </row>
    <row r="30" spans="1:14" ht="18" customHeight="1" x14ac:dyDescent="0.55000000000000004">
      <c r="A30" s="4"/>
      <c r="B30" s="7"/>
      <c r="C30" s="42"/>
      <c r="D30" s="7"/>
      <c r="E30" s="4"/>
      <c r="F30" s="4"/>
      <c r="G30" s="4"/>
      <c r="H30" s="42"/>
      <c r="I30" s="4"/>
      <c r="J30" s="4"/>
      <c r="K30" s="4"/>
      <c r="L30" s="4"/>
      <c r="M30" s="4"/>
      <c r="N30" s="7"/>
    </row>
    <row r="31" spans="1:14" ht="18" customHeight="1" x14ac:dyDescent="0.55000000000000004">
      <c r="A31" s="2"/>
      <c r="B31" s="8"/>
      <c r="C31" s="41"/>
      <c r="D31" s="8"/>
      <c r="E31" s="2"/>
      <c r="F31" s="2"/>
      <c r="G31" s="2"/>
      <c r="H31" s="41"/>
      <c r="I31" s="2"/>
      <c r="J31" s="2"/>
      <c r="K31" s="2"/>
      <c r="L31" s="2"/>
      <c r="M31" s="2"/>
      <c r="N31" s="8"/>
    </row>
    <row r="32" spans="1:14" ht="18" customHeight="1" x14ac:dyDescent="0.55000000000000004">
      <c r="A32" s="4"/>
      <c r="B32" s="7"/>
      <c r="C32" s="42"/>
      <c r="D32" s="7"/>
      <c r="E32" s="4"/>
      <c r="F32" s="4"/>
      <c r="G32" s="4"/>
      <c r="H32" s="42"/>
      <c r="I32" s="4"/>
      <c r="J32" s="4"/>
      <c r="K32" s="4"/>
      <c r="L32" s="4"/>
      <c r="M32" s="4"/>
      <c r="N32" s="7"/>
    </row>
    <row r="33" spans="1:14" ht="18" customHeight="1" x14ac:dyDescent="0.55000000000000004">
      <c r="A33" s="2"/>
      <c r="B33" s="8"/>
      <c r="C33" s="41"/>
      <c r="D33" s="8"/>
      <c r="E33" s="2"/>
      <c r="F33" s="2"/>
      <c r="G33" s="2"/>
      <c r="H33" s="2"/>
      <c r="I33" s="2"/>
      <c r="J33" s="2"/>
      <c r="K33" s="2"/>
      <c r="L33" s="2"/>
      <c r="M33" s="2"/>
      <c r="N33" s="8"/>
    </row>
    <row r="34" spans="1:14" ht="18" customHeight="1" x14ac:dyDescent="0.55000000000000004">
      <c r="A34" s="4"/>
      <c r="B34" s="7"/>
      <c r="C34" s="42"/>
      <c r="D34" s="7"/>
      <c r="E34" s="4"/>
      <c r="F34" s="4"/>
      <c r="G34" s="4"/>
      <c r="H34" s="4"/>
      <c r="I34" s="4"/>
      <c r="J34" s="4"/>
      <c r="K34" s="4"/>
      <c r="L34" s="4"/>
      <c r="M34" s="4"/>
      <c r="N34" s="7"/>
    </row>
    <row r="35" spans="1:14" ht="18" customHeight="1" x14ac:dyDescent="0.55000000000000004">
      <c r="A35" s="2"/>
      <c r="B35" s="8"/>
      <c r="C35" s="41"/>
      <c r="D35" s="8"/>
      <c r="E35" s="2"/>
      <c r="F35" s="2"/>
      <c r="G35" s="2"/>
      <c r="H35" s="2"/>
      <c r="I35" s="2"/>
      <c r="J35" s="2"/>
      <c r="K35" s="2"/>
      <c r="L35" s="2"/>
      <c r="M35" s="2"/>
      <c r="N35" s="8"/>
    </row>
    <row r="36" spans="1:14" ht="18" customHeight="1" x14ac:dyDescent="0.55000000000000004">
      <c r="A36" s="4"/>
      <c r="B36" s="7"/>
      <c r="C36" s="42"/>
      <c r="D36" s="7"/>
      <c r="E36" s="4"/>
      <c r="F36" s="4"/>
      <c r="G36" s="4"/>
      <c r="H36" s="4"/>
      <c r="I36" s="4"/>
      <c r="J36" s="4"/>
      <c r="K36" s="4"/>
      <c r="L36" s="4"/>
      <c r="M36" s="4"/>
      <c r="N36" s="7"/>
    </row>
    <row r="37" spans="1:14" ht="18" customHeight="1" x14ac:dyDescent="0.55000000000000004">
      <c r="A37" s="2"/>
      <c r="B37" s="8"/>
      <c r="C37" s="41"/>
      <c r="D37" s="8"/>
      <c r="E37" s="2"/>
      <c r="F37" s="2"/>
      <c r="G37" s="2"/>
      <c r="H37" s="2"/>
      <c r="I37" s="2"/>
      <c r="J37" s="2"/>
      <c r="K37" s="2"/>
      <c r="L37" s="2"/>
      <c r="M37" s="2"/>
      <c r="N37" s="8"/>
    </row>
    <row r="38" spans="1:14" ht="18" customHeight="1" x14ac:dyDescent="0.55000000000000004">
      <c r="A38" s="4"/>
      <c r="B38" s="7"/>
      <c r="C38" s="42"/>
      <c r="D38" s="7"/>
      <c r="E38" s="4"/>
      <c r="F38" s="4"/>
      <c r="G38" s="4"/>
      <c r="H38" s="4"/>
      <c r="I38" s="4"/>
      <c r="J38" s="4"/>
      <c r="K38" s="4"/>
      <c r="L38" s="4"/>
      <c r="M38" s="4"/>
      <c r="N38" s="7"/>
    </row>
    <row r="39" spans="1:14" ht="18" customHeight="1" x14ac:dyDescent="0.55000000000000004">
      <c r="A39" s="2"/>
      <c r="B39" s="8"/>
      <c r="C39" s="41"/>
      <c r="D39" s="8"/>
      <c r="E39" s="2"/>
      <c r="F39" s="2"/>
      <c r="G39" s="2"/>
      <c r="H39" s="2"/>
      <c r="I39" s="2"/>
      <c r="J39" s="2"/>
      <c r="K39" s="2"/>
      <c r="L39" s="2"/>
      <c r="M39" s="2"/>
      <c r="N39" s="8"/>
    </row>
    <row r="40" spans="1:14" ht="18" customHeight="1" x14ac:dyDescent="0.55000000000000004">
      <c r="A40" s="4"/>
      <c r="B40" s="7"/>
      <c r="C40" s="42"/>
      <c r="D40" s="7"/>
      <c r="E40" s="4"/>
      <c r="F40" s="4"/>
      <c r="G40" s="4"/>
      <c r="H40" s="4"/>
      <c r="I40" s="4"/>
      <c r="J40" s="4"/>
      <c r="K40" s="4"/>
      <c r="L40" s="4"/>
      <c r="M40" s="4"/>
      <c r="N40" s="7"/>
    </row>
    <row r="41" spans="1:14" ht="18" customHeight="1" x14ac:dyDescent="0.55000000000000004">
      <c r="A41" s="2"/>
      <c r="B41" s="8"/>
      <c r="C41" s="41"/>
      <c r="D41" s="8"/>
      <c r="E41" s="2"/>
      <c r="F41" s="2"/>
      <c r="G41" s="2"/>
      <c r="H41" s="2"/>
      <c r="I41" s="2"/>
      <c r="J41" s="2"/>
      <c r="K41" s="2"/>
      <c r="L41" s="2"/>
      <c r="M41" s="2"/>
      <c r="N41" s="8"/>
    </row>
    <row r="42" spans="1:14" ht="18" customHeight="1" x14ac:dyDescent="0.55000000000000004">
      <c r="A42" s="4"/>
      <c r="B42" s="7"/>
      <c r="C42" s="42"/>
      <c r="D42" s="7"/>
      <c r="E42" s="4"/>
      <c r="F42" s="4"/>
      <c r="G42" s="4"/>
      <c r="H42" s="4"/>
      <c r="I42" s="4"/>
      <c r="J42" s="4"/>
      <c r="K42" s="4"/>
      <c r="L42" s="4"/>
      <c r="M42" s="4"/>
      <c r="N42" s="7"/>
    </row>
    <row r="43" spans="1:14" ht="18" customHeight="1" x14ac:dyDescent="0.55000000000000004">
      <c r="A43" s="2"/>
      <c r="B43" s="8"/>
      <c r="C43" s="41"/>
      <c r="D43" s="8"/>
      <c r="E43" s="2"/>
      <c r="F43" s="2"/>
      <c r="G43" s="2"/>
      <c r="H43" s="2"/>
      <c r="I43" s="2"/>
      <c r="J43" s="2"/>
      <c r="K43" s="2"/>
      <c r="L43" s="2"/>
      <c r="M43" s="2"/>
      <c r="N43" s="8"/>
    </row>
    <row r="44" spans="1:14" ht="18" customHeight="1" x14ac:dyDescent="0.55000000000000004">
      <c r="A44" s="4"/>
      <c r="B44" s="7"/>
      <c r="C44" s="42"/>
      <c r="D44" s="7"/>
      <c r="E44" s="4"/>
      <c r="F44" s="4"/>
      <c r="G44" s="4"/>
      <c r="H44" s="4"/>
      <c r="I44" s="4"/>
      <c r="J44" s="4"/>
      <c r="K44" s="4"/>
      <c r="L44" s="4"/>
      <c r="M44" s="4"/>
      <c r="N44" s="7"/>
    </row>
    <row r="45" spans="1:14" ht="18" customHeight="1" x14ac:dyDescent="0.55000000000000004">
      <c r="A45" s="2"/>
      <c r="B45" s="8"/>
      <c r="C45" s="41"/>
      <c r="D45" s="8"/>
      <c r="E45" s="2"/>
      <c r="F45" s="2"/>
      <c r="G45" s="2"/>
      <c r="H45" s="2"/>
      <c r="I45" s="2"/>
      <c r="J45" s="2"/>
      <c r="K45" s="2"/>
      <c r="L45" s="2"/>
      <c r="M45" s="2"/>
      <c r="N45" s="8"/>
    </row>
    <row r="46" spans="1:14" ht="18" customHeight="1" x14ac:dyDescent="0.55000000000000004">
      <c r="A46" s="4"/>
      <c r="B46" s="7"/>
      <c r="C46" s="42"/>
      <c r="D46" s="7"/>
      <c r="E46" s="4"/>
      <c r="F46" s="4"/>
      <c r="G46" s="4"/>
      <c r="H46" s="4"/>
      <c r="I46" s="4"/>
      <c r="J46" s="4"/>
      <c r="K46" s="4"/>
      <c r="L46" s="4"/>
      <c r="M46" s="4"/>
      <c r="N46" s="7"/>
    </row>
    <row r="47" spans="1:14" ht="18" customHeight="1" x14ac:dyDescent="0.55000000000000004">
      <c r="A47" s="2"/>
      <c r="B47" s="8"/>
      <c r="C47" s="2"/>
      <c r="D47" s="8"/>
      <c r="E47" s="2"/>
      <c r="F47" s="2"/>
      <c r="G47" s="2"/>
      <c r="H47" s="2"/>
      <c r="I47" s="2"/>
      <c r="J47" s="2"/>
      <c r="K47" s="2"/>
      <c r="L47" s="2"/>
      <c r="M47" s="2"/>
      <c r="N47" s="8"/>
    </row>
    <row r="48" spans="1:14" ht="18" customHeight="1" x14ac:dyDescent="0.55000000000000004">
      <c r="A48" s="4"/>
      <c r="B48" s="7"/>
      <c r="C48" s="4"/>
      <c r="D48" s="7"/>
      <c r="E48" s="4"/>
      <c r="F48" s="4"/>
      <c r="G48" s="4"/>
      <c r="H48" s="4"/>
      <c r="I48" s="4"/>
      <c r="J48" s="4"/>
      <c r="K48" s="4"/>
      <c r="L48" s="4"/>
      <c r="M48" s="4"/>
      <c r="N48" s="7"/>
    </row>
    <row r="49" spans="1:14" ht="18" customHeight="1" x14ac:dyDescent="0.55000000000000004">
      <c r="A49" s="2"/>
      <c r="B49" s="8"/>
      <c r="C49" s="2"/>
      <c r="D49" s="8"/>
      <c r="E49" s="2"/>
      <c r="F49" s="2"/>
      <c r="G49" s="2"/>
      <c r="H49" s="2"/>
      <c r="I49" s="2"/>
      <c r="J49" s="2"/>
      <c r="K49" s="2"/>
      <c r="L49" s="2"/>
      <c r="M49" s="2"/>
      <c r="N49" s="8"/>
    </row>
    <row r="50" spans="1:14" ht="18" customHeight="1" x14ac:dyDescent="0.55000000000000004">
      <c r="A50" s="4"/>
      <c r="B50" s="7"/>
      <c r="C50" s="4"/>
      <c r="D50" s="7"/>
      <c r="E50" s="4"/>
      <c r="F50" s="4"/>
      <c r="G50" s="4"/>
      <c r="H50" s="4"/>
      <c r="I50" s="4"/>
      <c r="J50" s="4"/>
      <c r="K50" s="4"/>
      <c r="L50" s="4"/>
      <c r="M50" s="4"/>
      <c r="N50" s="7"/>
    </row>
    <row r="51" spans="1:14" ht="18" customHeight="1" x14ac:dyDescent="0.55000000000000004">
      <c r="A51" s="2"/>
      <c r="B51" s="8"/>
      <c r="C51" s="2"/>
      <c r="D51" s="8"/>
      <c r="E51" s="2"/>
      <c r="F51" s="2"/>
      <c r="G51" s="2"/>
      <c r="H51" s="2"/>
      <c r="I51" s="2"/>
      <c r="J51" s="2"/>
      <c r="K51" s="2"/>
      <c r="L51" s="2"/>
      <c r="M51" s="2"/>
      <c r="N51" s="8"/>
    </row>
    <row r="52" spans="1:14" ht="18" customHeight="1" x14ac:dyDescent="0.55000000000000004">
      <c r="A52" s="4"/>
      <c r="B52" s="7"/>
      <c r="C52" s="4"/>
      <c r="D52" s="7"/>
      <c r="E52" s="4"/>
      <c r="F52" s="4"/>
      <c r="G52" s="4"/>
      <c r="H52" s="4"/>
      <c r="I52" s="4"/>
      <c r="J52" s="4"/>
      <c r="K52" s="4"/>
      <c r="L52" s="4"/>
      <c r="M52" s="4"/>
      <c r="N52" s="7"/>
    </row>
  </sheetData>
  <mergeCells count="2">
    <mergeCell ref="A2:N2"/>
    <mergeCell ref="A1:N1"/>
  </mergeCells>
  <dataValidations count="1">
    <dataValidation type="list" sqref="M4:M199" xr:uid="{00000000-0002-0000-0000-000000000000}">
      <formula1>"Not Uploaded,Uploaded,In Progress,Awaiting Export,Complete,On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"/>
  <sheetViews>
    <sheetView showGridLines="0" workbookViewId="0">
      <pane ySplit="3" topLeftCell="A4" activePane="bottomLeft" state="frozen"/>
      <selection pane="bottomLeft" activeCell="G5" sqref="G5"/>
    </sheetView>
  </sheetViews>
  <sheetFormatPr defaultRowHeight="14.4" x14ac:dyDescent="0.55000000000000004"/>
  <cols>
    <col min="1" max="1" width="16" customWidth="1"/>
    <col min="2" max="2" width="10" customWidth="1"/>
    <col min="3" max="4" width="14" customWidth="1"/>
    <col min="5" max="5" width="22" customWidth="1"/>
    <col min="6" max="6" width="40" customWidth="1"/>
    <col min="7" max="7" width="28" customWidth="1"/>
  </cols>
  <sheetData>
    <row r="1" spans="1:7" ht="28" customHeight="1" x14ac:dyDescent="0.55000000000000004">
      <c r="A1" s="37" t="s">
        <v>20</v>
      </c>
      <c r="B1" s="35"/>
      <c r="C1" s="35"/>
      <c r="D1" s="35"/>
      <c r="E1" s="35"/>
      <c r="F1" s="35"/>
      <c r="G1" s="35"/>
    </row>
    <row r="2" spans="1:7" ht="16" customHeight="1" x14ac:dyDescent="0.55000000000000004">
      <c r="A2" s="34" t="s">
        <v>21</v>
      </c>
      <c r="B2" s="35"/>
      <c r="C2" s="35"/>
      <c r="D2" s="35"/>
      <c r="E2" s="35"/>
      <c r="F2" s="35"/>
      <c r="G2" s="35"/>
    </row>
    <row r="3" spans="1:7" ht="24" customHeight="1" x14ac:dyDescent="0.55000000000000004">
      <c r="A3" s="1" t="s">
        <v>22</v>
      </c>
      <c r="B3" s="1" t="s">
        <v>23</v>
      </c>
      <c r="C3" s="1" t="s">
        <v>24</v>
      </c>
      <c r="D3" s="1" t="s">
        <v>25</v>
      </c>
      <c r="E3" s="1" t="s">
        <v>26</v>
      </c>
      <c r="F3" s="1" t="s">
        <v>27</v>
      </c>
      <c r="G3" s="1" t="s">
        <v>12</v>
      </c>
    </row>
    <row r="4" spans="1:7" ht="36" customHeight="1" x14ac:dyDescent="0.55000000000000004">
      <c r="A4" s="3" t="s">
        <v>28</v>
      </c>
      <c r="B4" s="3" t="s">
        <v>29</v>
      </c>
      <c r="C4" s="43">
        <v>46101</v>
      </c>
      <c r="D4" s="3" t="s">
        <v>65</v>
      </c>
      <c r="E4" s="3" t="s">
        <v>67</v>
      </c>
      <c r="F4" s="3" t="s">
        <v>68</v>
      </c>
      <c r="G4" s="3" t="s">
        <v>66</v>
      </c>
    </row>
    <row r="5" spans="1:7" ht="18" customHeight="1" x14ac:dyDescent="0.55000000000000004">
      <c r="A5" s="5" t="s">
        <v>28</v>
      </c>
      <c r="B5" s="5" t="s">
        <v>69</v>
      </c>
      <c r="C5" s="44">
        <v>46105</v>
      </c>
      <c r="D5" s="5" t="s">
        <v>65</v>
      </c>
      <c r="E5" s="5"/>
      <c r="F5" s="5" t="s">
        <v>70</v>
      </c>
      <c r="G5" s="5"/>
    </row>
    <row r="6" spans="1:7" ht="18" customHeight="1" x14ac:dyDescent="0.55000000000000004">
      <c r="A6" s="3"/>
      <c r="B6" s="3"/>
      <c r="C6" s="43"/>
      <c r="D6" s="3"/>
      <c r="E6" s="3"/>
      <c r="F6" s="3"/>
      <c r="G6" s="3"/>
    </row>
    <row r="7" spans="1:7" ht="18" customHeight="1" x14ac:dyDescent="0.55000000000000004">
      <c r="A7" s="5"/>
      <c r="B7" s="5"/>
      <c r="C7" s="44"/>
      <c r="D7" s="5"/>
      <c r="E7" s="5"/>
      <c r="F7" s="5"/>
      <c r="G7" s="5"/>
    </row>
    <row r="8" spans="1:7" ht="18" customHeight="1" x14ac:dyDescent="0.55000000000000004">
      <c r="A8" s="3"/>
      <c r="B8" s="3"/>
      <c r="C8" s="43"/>
      <c r="D8" s="3"/>
      <c r="E8" s="3"/>
      <c r="F8" s="3"/>
      <c r="G8" s="3"/>
    </row>
    <row r="9" spans="1:7" ht="18" customHeight="1" x14ac:dyDescent="0.55000000000000004">
      <c r="A9" s="9"/>
      <c r="B9" s="9"/>
      <c r="C9" s="45"/>
      <c r="D9" s="9"/>
      <c r="E9" s="9"/>
      <c r="F9" s="9"/>
      <c r="G9" s="9"/>
    </row>
    <row r="10" spans="1:7" ht="18" customHeight="1" x14ac:dyDescent="0.55000000000000004">
      <c r="A10" s="10"/>
      <c r="B10" s="10"/>
      <c r="C10" s="46"/>
      <c r="D10" s="10"/>
      <c r="E10" s="10"/>
      <c r="F10" s="10"/>
      <c r="G10" s="10"/>
    </row>
    <row r="11" spans="1:7" ht="18" customHeight="1" x14ac:dyDescent="0.55000000000000004">
      <c r="A11" s="9"/>
      <c r="B11" s="9"/>
      <c r="C11" s="45"/>
      <c r="D11" s="9"/>
      <c r="E11" s="9"/>
      <c r="F11" s="9"/>
      <c r="G11" s="9"/>
    </row>
    <row r="12" spans="1:7" ht="18" customHeight="1" x14ac:dyDescent="0.55000000000000004">
      <c r="A12" s="10"/>
      <c r="B12" s="10"/>
      <c r="C12" s="46"/>
      <c r="D12" s="10"/>
      <c r="E12" s="10"/>
      <c r="F12" s="10"/>
      <c r="G12" s="10"/>
    </row>
    <row r="13" spans="1:7" ht="18" customHeight="1" x14ac:dyDescent="0.55000000000000004">
      <c r="A13" s="9"/>
      <c r="B13" s="9"/>
      <c r="C13" s="45"/>
      <c r="D13" s="9"/>
      <c r="E13" s="9"/>
      <c r="F13" s="9"/>
      <c r="G13" s="9"/>
    </row>
    <row r="14" spans="1:7" ht="18" customHeight="1" x14ac:dyDescent="0.55000000000000004">
      <c r="A14" s="10"/>
      <c r="B14" s="10"/>
      <c r="C14" s="46"/>
      <c r="D14" s="10"/>
      <c r="E14" s="10"/>
      <c r="F14" s="10"/>
      <c r="G14" s="10"/>
    </row>
    <row r="15" spans="1:7" ht="18" customHeight="1" x14ac:dyDescent="0.55000000000000004">
      <c r="A15" s="9"/>
      <c r="B15" s="9"/>
      <c r="C15" s="45"/>
      <c r="D15" s="9"/>
      <c r="E15" s="9"/>
      <c r="F15" s="9"/>
      <c r="G15" s="9"/>
    </row>
    <row r="16" spans="1:7" ht="18" customHeight="1" x14ac:dyDescent="0.55000000000000004">
      <c r="A16" s="10"/>
      <c r="B16" s="10"/>
      <c r="C16" s="46"/>
      <c r="D16" s="10"/>
      <c r="E16" s="10"/>
      <c r="F16" s="10"/>
      <c r="G16" s="10"/>
    </row>
    <row r="17" spans="1:7" ht="18" customHeight="1" x14ac:dyDescent="0.55000000000000004">
      <c r="A17" s="9"/>
      <c r="B17" s="9"/>
      <c r="C17" s="45"/>
      <c r="D17" s="9"/>
      <c r="E17" s="9"/>
      <c r="F17" s="9"/>
      <c r="G17" s="9"/>
    </row>
    <row r="18" spans="1:7" ht="18" customHeight="1" x14ac:dyDescent="0.55000000000000004">
      <c r="A18" s="10"/>
      <c r="B18" s="10"/>
      <c r="C18" s="46"/>
      <c r="D18" s="10"/>
      <c r="E18" s="10"/>
      <c r="F18" s="10"/>
      <c r="G18" s="10"/>
    </row>
    <row r="19" spans="1:7" ht="18" customHeight="1" x14ac:dyDescent="0.55000000000000004">
      <c r="A19" s="9"/>
      <c r="B19" s="9"/>
      <c r="C19" s="45"/>
      <c r="D19" s="9"/>
      <c r="E19" s="9"/>
      <c r="F19" s="9"/>
      <c r="G19" s="9"/>
    </row>
    <row r="20" spans="1:7" ht="18" customHeight="1" x14ac:dyDescent="0.55000000000000004">
      <c r="A20" s="10"/>
      <c r="B20" s="10"/>
      <c r="C20" s="46"/>
      <c r="D20" s="10"/>
      <c r="E20" s="10"/>
      <c r="F20" s="10"/>
      <c r="G20" s="10"/>
    </row>
    <row r="21" spans="1:7" ht="18" customHeight="1" x14ac:dyDescent="0.55000000000000004">
      <c r="A21" s="9"/>
      <c r="B21" s="9"/>
      <c r="C21" s="45"/>
      <c r="D21" s="9"/>
      <c r="E21" s="9"/>
      <c r="F21" s="9"/>
      <c r="G21" s="9"/>
    </row>
    <row r="22" spans="1:7" ht="18" customHeight="1" x14ac:dyDescent="0.55000000000000004">
      <c r="A22" s="10"/>
      <c r="B22" s="10"/>
      <c r="C22" s="46"/>
      <c r="D22" s="10"/>
      <c r="E22" s="10"/>
      <c r="F22" s="10"/>
      <c r="G22" s="10"/>
    </row>
    <row r="23" spans="1:7" ht="18" customHeight="1" x14ac:dyDescent="0.55000000000000004">
      <c r="A23" s="9"/>
      <c r="B23" s="9"/>
      <c r="C23" s="45"/>
      <c r="D23" s="9"/>
      <c r="E23" s="9"/>
      <c r="F23" s="9"/>
      <c r="G23" s="9"/>
    </row>
    <row r="24" spans="1:7" ht="18" customHeight="1" x14ac:dyDescent="0.55000000000000004">
      <c r="A24" s="10"/>
      <c r="B24" s="10"/>
      <c r="C24" s="46"/>
      <c r="D24" s="10"/>
      <c r="E24" s="10"/>
      <c r="F24" s="10"/>
      <c r="G24" s="10"/>
    </row>
    <row r="25" spans="1:7" ht="18" customHeight="1" x14ac:dyDescent="0.55000000000000004">
      <c r="A25" s="9"/>
      <c r="B25" s="9"/>
      <c r="C25" s="45"/>
      <c r="D25" s="9"/>
      <c r="E25" s="9"/>
      <c r="F25" s="9"/>
      <c r="G25" s="9"/>
    </row>
    <row r="26" spans="1:7" ht="18" customHeight="1" x14ac:dyDescent="0.55000000000000004">
      <c r="A26" s="10"/>
      <c r="B26" s="10"/>
      <c r="C26" s="46"/>
      <c r="D26" s="10"/>
      <c r="E26" s="10"/>
      <c r="F26" s="10"/>
      <c r="G26" s="10"/>
    </row>
    <row r="27" spans="1:7" ht="18" customHeight="1" x14ac:dyDescent="0.55000000000000004">
      <c r="A27" s="9"/>
      <c r="B27" s="9"/>
      <c r="C27" s="45"/>
      <c r="D27" s="9"/>
      <c r="E27" s="9"/>
      <c r="F27" s="9"/>
      <c r="G27" s="9"/>
    </row>
    <row r="28" spans="1:7" ht="18" customHeight="1" x14ac:dyDescent="0.55000000000000004">
      <c r="A28" s="10"/>
      <c r="B28" s="10"/>
      <c r="C28" s="46"/>
      <c r="D28" s="10"/>
      <c r="E28" s="10"/>
      <c r="F28" s="10"/>
      <c r="G28" s="10"/>
    </row>
    <row r="29" spans="1:7" ht="18" customHeight="1" x14ac:dyDescent="0.55000000000000004">
      <c r="A29" s="9"/>
      <c r="B29" s="9"/>
      <c r="C29" s="45"/>
      <c r="D29" s="9"/>
      <c r="E29" s="9"/>
      <c r="F29" s="9"/>
      <c r="G29" s="9"/>
    </row>
    <row r="30" spans="1:7" ht="18" customHeight="1" x14ac:dyDescent="0.55000000000000004">
      <c r="A30" s="10"/>
      <c r="B30" s="10"/>
      <c r="C30" s="46"/>
      <c r="D30" s="10"/>
      <c r="E30" s="10"/>
      <c r="F30" s="10"/>
      <c r="G30" s="10"/>
    </row>
    <row r="31" spans="1:7" ht="18" customHeight="1" x14ac:dyDescent="0.55000000000000004">
      <c r="A31" s="9"/>
      <c r="B31" s="9"/>
      <c r="C31" s="45"/>
      <c r="D31" s="9"/>
      <c r="E31" s="9"/>
      <c r="F31" s="9"/>
      <c r="G31" s="9"/>
    </row>
    <row r="32" spans="1:7" ht="18" customHeight="1" x14ac:dyDescent="0.55000000000000004">
      <c r="A32" s="10"/>
      <c r="B32" s="10"/>
      <c r="C32" s="46"/>
      <c r="D32" s="10"/>
      <c r="E32" s="10"/>
      <c r="F32" s="10"/>
      <c r="G32" s="10"/>
    </row>
    <row r="33" spans="1:7" ht="18" customHeight="1" x14ac:dyDescent="0.55000000000000004">
      <c r="A33" s="9"/>
      <c r="B33" s="9"/>
      <c r="C33" s="45"/>
      <c r="D33" s="9"/>
      <c r="E33" s="9"/>
      <c r="F33" s="9"/>
      <c r="G33" s="9"/>
    </row>
    <row r="34" spans="1:7" ht="18" customHeight="1" x14ac:dyDescent="0.55000000000000004">
      <c r="A34" s="10"/>
      <c r="B34" s="10"/>
      <c r="C34" s="46"/>
      <c r="D34" s="10"/>
      <c r="E34" s="10"/>
      <c r="F34" s="10"/>
      <c r="G34" s="10"/>
    </row>
    <row r="35" spans="1:7" ht="18" customHeight="1" x14ac:dyDescent="0.55000000000000004">
      <c r="A35" s="9"/>
      <c r="B35" s="9"/>
      <c r="C35" s="45"/>
      <c r="D35" s="9"/>
      <c r="E35" s="9"/>
      <c r="F35" s="9"/>
      <c r="G35" s="9"/>
    </row>
    <row r="36" spans="1:7" ht="18" customHeight="1" x14ac:dyDescent="0.55000000000000004">
      <c r="A36" s="10"/>
      <c r="B36" s="10"/>
      <c r="C36" s="46"/>
      <c r="D36" s="10"/>
      <c r="E36" s="10"/>
      <c r="F36" s="10"/>
      <c r="G36" s="10"/>
    </row>
    <row r="37" spans="1:7" ht="18" customHeight="1" x14ac:dyDescent="0.55000000000000004">
      <c r="A37" s="9"/>
      <c r="B37" s="9"/>
      <c r="C37" s="45"/>
      <c r="D37" s="9"/>
      <c r="E37" s="9"/>
      <c r="F37" s="9"/>
      <c r="G37" s="9"/>
    </row>
    <row r="38" spans="1:7" ht="18" customHeight="1" x14ac:dyDescent="0.55000000000000004">
      <c r="A38" s="10"/>
      <c r="B38" s="10"/>
      <c r="C38" s="10"/>
      <c r="D38" s="10"/>
      <c r="E38" s="10"/>
      <c r="F38" s="10"/>
      <c r="G38" s="10"/>
    </row>
    <row r="39" spans="1:7" ht="18" customHeight="1" x14ac:dyDescent="0.55000000000000004">
      <c r="A39" s="9"/>
      <c r="B39" s="9"/>
      <c r="C39" s="9"/>
      <c r="D39" s="9"/>
      <c r="E39" s="9"/>
      <c r="F39" s="9"/>
      <c r="G39" s="9"/>
    </row>
  </sheetData>
  <mergeCells count="2">
    <mergeCell ref="A2:G2"/>
    <mergeCell ref="A1:G1"/>
  </mergeCells>
  <dataValidations count="1">
    <dataValidation type="list" sqref="A4:A200" xr:uid="{00000000-0002-0000-0100-000000000000}">
      <formula1>"Import,Export,Other"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showGridLines="0" workbookViewId="0">
      <pane ySplit="3" topLeftCell="A4" activePane="bottomLeft" state="frozen"/>
      <selection pane="bottomLeft" sqref="A1:J1"/>
    </sheetView>
  </sheetViews>
  <sheetFormatPr defaultRowHeight="14.4" x14ac:dyDescent="0.55000000000000004"/>
  <cols>
    <col min="1" max="2" width="14" customWidth="1"/>
    <col min="3" max="3" width="20" customWidth="1"/>
    <col min="4" max="4" width="12" customWidth="1"/>
    <col min="5" max="5" width="20" customWidth="1"/>
    <col min="6" max="7" width="16" customWidth="1"/>
    <col min="8" max="10" width="28" customWidth="1"/>
  </cols>
  <sheetData>
    <row r="1" spans="1:10" ht="28" customHeight="1" x14ac:dyDescent="0.55000000000000004">
      <c r="A1" s="37" t="s">
        <v>31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ht="16" customHeight="1" x14ac:dyDescent="0.55000000000000004">
      <c r="A2" s="34" t="s">
        <v>32</v>
      </c>
      <c r="B2" s="35"/>
      <c r="C2" s="35"/>
      <c r="D2" s="35"/>
      <c r="E2" s="35"/>
      <c r="F2" s="35"/>
      <c r="G2" s="35"/>
      <c r="H2" s="35"/>
      <c r="I2" s="35"/>
      <c r="J2" s="35"/>
    </row>
    <row r="3" spans="1:10" ht="30" customHeight="1" x14ac:dyDescent="0.55000000000000004">
      <c r="A3" s="11" t="s">
        <v>8</v>
      </c>
      <c r="B3" s="11" t="s">
        <v>33</v>
      </c>
      <c r="C3" s="11" t="s">
        <v>34</v>
      </c>
      <c r="D3" s="11" t="s">
        <v>35</v>
      </c>
      <c r="E3" s="11" t="s">
        <v>36</v>
      </c>
      <c r="F3" s="11" t="s">
        <v>37</v>
      </c>
      <c r="G3" s="11" t="s">
        <v>38</v>
      </c>
      <c r="H3" s="11" t="s">
        <v>10</v>
      </c>
      <c r="I3" s="11" t="s">
        <v>39</v>
      </c>
      <c r="J3" s="11" t="s">
        <v>12</v>
      </c>
    </row>
    <row r="4" spans="1:10" ht="18" customHeight="1" x14ac:dyDescent="0.55000000000000004">
      <c r="A4" s="12" t="s">
        <v>14</v>
      </c>
      <c r="B4" s="12" t="s">
        <v>30</v>
      </c>
      <c r="C4" s="12" t="s">
        <v>40</v>
      </c>
      <c r="D4" s="12" t="s">
        <v>41</v>
      </c>
      <c r="E4" s="12" t="s">
        <v>13</v>
      </c>
      <c r="F4" s="12">
        <v>1480</v>
      </c>
      <c r="G4" s="12">
        <v>120</v>
      </c>
      <c r="H4" s="12" t="s">
        <v>15</v>
      </c>
      <c r="I4" s="12" t="s">
        <v>42</v>
      </c>
      <c r="J4" s="12" t="s">
        <v>43</v>
      </c>
    </row>
    <row r="5" spans="1:10" ht="18" customHeight="1" x14ac:dyDescent="0.55000000000000004">
      <c r="A5" s="9"/>
      <c r="B5" s="9"/>
      <c r="C5" s="9"/>
      <c r="D5" s="9"/>
      <c r="E5" s="9"/>
      <c r="F5" s="9"/>
      <c r="G5" s="9"/>
      <c r="H5" s="9"/>
      <c r="I5" s="9"/>
      <c r="J5" s="9"/>
    </row>
    <row r="6" spans="1:10" ht="18" customHeight="1" x14ac:dyDescent="0.55000000000000004">
      <c r="A6" s="13"/>
      <c r="B6" s="13"/>
      <c r="C6" s="13"/>
      <c r="D6" s="13"/>
      <c r="E6" s="13"/>
      <c r="F6" s="13"/>
      <c r="G6" s="13"/>
      <c r="H6" s="13"/>
      <c r="I6" s="13"/>
      <c r="J6" s="13"/>
    </row>
    <row r="7" spans="1:10" ht="18" customHeight="1" x14ac:dyDescent="0.55000000000000004">
      <c r="A7" s="9"/>
      <c r="B7" s="9"/>
      <c r="C7" s="9"/>
      <c r="D7" s="9"/>
      <c r="E7" s="9"/>
      <c r="F7" s="9"/>
      <c r="G7" s="9"/>
      <c r="H7" s="9"/>
      <c r="I7" s="9"/>
      <c r="J7" s="9"/>
    </row>
    <row r="8" spans="1:10" ht="18" customHeight="1" x14ac:dyDescent="0.55000000000000004">
      <c r="A8" s="13"/>
      <c r="B8" s="13"/>
      <c r="C8" s="13"/>
      <c r="D8" s="13"/>
      <c r="E8" s="13"/>
      <c r="F8" s="13"/>
      <c r="G8" s="13"/>
      <c r="H8" s="13"/>
      <c r="I8" s="13"/>
      <c r="J8" s="13"/>
    </row>
    <row r="9" spans="1:10" ht="18" customHeight="1" x14ac:dyDescent="0.55000000000000004">
      <c r="A9" s="9"/>
      <c r="B9" s="9"/>
      <c r="C9" s="9"/>
      <c r="D9" s="9"/>
      <c r="E9" s="9"/>
      <c r="F9" s="9"/>
      <c r="G9" s="9"/>
      <c r="H9" s="9"/>
      <c r="I9" s="9"/>
      <c r="J9" s="9"/>
    </row>
    <row r="10" spans="1:10" ht="18" customHeight="1" x14ac:dyDescent="0.55000000000000004">
      <c r="A10" s="13"/>
      <c r="B10" s="13"/>
      <c r="C10" s="13"/>
      <c r="D10" s="13"/>
      <c r="E10" s="13"/>
      <c r="F10" s="13"/>
      <c r="G10" s="13"/>
      <c r="H10" s="13"/>
      <c r="I10" s="13"/>
      <c r="J10" s="13"/>
    </row>
    <row r="11" spans="1:10" ht="18" customHeight="1" x14ac:dyDescent="0.55000000000000004">
      <c r="A11" s="9"/>
      <c r="B11" s="9"/>
      <c r="C11" s="9"/>
      <c r="D11" s="9"/>
      <c r="E11" s="9"/>
      <c r="F11" s="9"/>
      <c r="G11" s="9"/>
      <c r="H11" s="9"/>
      <c r="I11" s="9"/>
      <c r="J11" s="9"/>
    </row>
    <row r="12" spans="1:10" ht="18" customHeight="1" x14ac:dyDescent="0.55000000000000004">
      <c r="A12" s="13"/>
      <c r="B12" s="13"/>
      <c r="C12" s="13"/>
      <c r="D12" s="13"/>
      <c r="E12" s="13"/>
      <c r="F12" s="13"/>
      <c r="G12" s="13"/>
      <c r="H12" s="13"/>
      <c r="I12" s="13"/>
      <c r="J12" s="13"/>
    </row>
    <row r="13" spans="1:10" ht="18" customHeight="1" x14ac:dyDescent="0.55000000000000004">
      <c r="A13" s="9"/>
      <c r="B13" s="9"/>
      <c r="C13" s="9"/>
      <c r="D13" s="9"/>
      <c r="E13" s="9"/>
      <c r="F13" s="9"/>
      <c r="G13" s="9"/>
      <c r="H13" s="9"/>
      <c r="I13" s="9"/>
      <c r="J13" s="9"/>
    </row>
    <row r="14" spans="1:10" ht="18" customHeight="1" x14ac:dyDescent="0.55000000000000004">
      <c r="A14" s="13"/>
      <c r="B14" s="13"/>
      <c r="C14" s="13"/>
      <c r="D14" s="13"/>
      <c r="E14" s="13"/>
      <c r="F14" s="13"/>
      <c r="G14" s="13"/>
      <c r="H14" s="13"/>
      <c r="I14" s="13"/>
      <c r="J14" s="13"/>
    </row>
    <row r="15" spans="1:10" ht="18" customHeight="1" x14ac:dyDescent="0.55000000000000004">
      <c r="A15" s="9"/>
      <c r="B15" s="9"/>
      <c r="C15" s="9"/>
      <c r="D15" s="9"/>
      <c r="E15" s="9"/>
      <c r="F15" s="9"/>
      <c r="G15" s="9"/>
      <c r="H15" s="9"/>
      <c r="I15" s="9"/>
      <c r="J15" s="9"/>
    </row>
    <row r="16" spans="1:10" ht="18" customHeight="1" x14ac:dyDescent="0.55000000000000004">
      <c r="A16" s="13"/>
      <c r="B16" s="13"/>
      <c r="C16" s="13"/>
      <c r="D16" s="13"/>
      <c r="E16" s="13"/>
      <c r="F16" s="13"/>
      <c r="G16" s="13"/>
      <c r="H16" s="13"/>
      <c r="I16" s="13"/>
      <c r="J16" s="13"/>
    </row>
    <row r="17" spans="1:10" ht="18" customHeight="1" x14ac:dyDescent="0.55000000000000004">
      <c r="A17" s="9"/>
      <c r="B17" s="9"/>
      <c r="C17" s="9"/>
      <c r="D17" s="9"/>
      <c r="E17" s="9"/>
      <c r="F17" s="9"/>
      <c r="G17" s="9"/>
      <c r="H17" s="9"/>
      <c r="I17" s="9"/>
      <c r="J17" s="9"/>
    </row>
    <row r="18" spans="1:10" ht="18" customHeight="1" x14ac:dyDescent="0.55000000000000004">
      <c r="A18" s="13"/>
      <c r="B18" s="13"/>
      <c r="C18" s="13"/>
      <c r="D18" s="13"/>
      <c r="E18" s="13"/>
      <c r="F18" s="13"/>
      <c r="G18" s="13"/>
      <c r="H18" s="13"/>
      <c r="I18" s="13"/>
      <c r="J18" s="13"/>
    </row>
    <row r="19" spans="1:10" ht="18" customHeight="1" x14ac:dyDescent="0.55000000000000004">
      <c r="A19" s="9"/>
      <c r="B19" s="9"/>
      <c r="C19" s="9"/>
      <c r="D19" s="9"/>
      <c r="E19" s="9"/>
      <c r="F19" s="9"/>
      <c r="G19" s="9"/>
      <c r="H19" s="9"/>
      <c r="I19" s="9"/>
      <c r="J19" s="9"/>
    </row>
    <row r="20" spans="1:10" ht="18" customHeight="1" x14ac:dyDescent="0.55000000000000004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0" ht="18" customHeight="1" x14ac:dyDescent="0.55000000000000004">
      <c r="A21" s="9"/>
      <c r="B21" s="9"/>
      <c r="C21" s="9"/>
      <c r="D21" s="9"/>
      <c r="E21" s="9"/>
      <c r="F21" s="9"/>
      <c r="G21" s="9"/>
      <c r="H21" s="9"/>
      <c r="I21" s="9"/>
      <c r="J21" s="9"/>
    </row>
    <row r="22" spans="1:10" ht="18" customHeight="1" x14ac:dyDescent="0.55000000000000004">
      <c r="A22" s="13"/>
      <c r="B22" s="13"/>
      <c r="C22" s="13"/>
      <c r="D22" s="13"/>
      <c r="E22" s="13"/>
      <c r="F22" s="13"/>
      <c r="G22" s="13"/>
      <c r="H22" s="13"/>
      <c r="I22" s="13"/>
      <c r="J22" s="13"/>
    </row>
    <row r="23" spans="1:10" ht="18" customHeight="1" x14ac:dyDescent="0.55000000000000004">
      <c r="A23" s="9"/>
      <c r="B23" s="9"/>
      <c r="C23" s="9"/>
      <c r="D23" s="9"/>
      <c r="E23" s="9"/>
      <c r="F23" s="9"/>
      <c r="G23" s="9"/>
      <c r="H23" s="9"/>
      <c r="I23" s="9"/>
      <c r="J23" s="9"/>
    </row>
    <row r="24" spans="1:10" ht="18" customHeight="1" x14ac:dyDescent="0.55000000000000004">
      <c r="A24" s="13"/>
      <c r="B24" s="13"/>
      <c r="C24" s="13"/>
      <c r="D24" s="13"/>
      <c r="E24" s="13"/>
      <c r="F24" s="13"/>
      <c r="G24" s="13"/>
      <c r="H24" s="13"/>
      <c r="I24" s="13"/>
      <c r="J24" s="13"/>
    </row>
    <row r="25" spans="1:10" ht="18" customHeight="1" x14ac:dyDescent="0.55000000000000004">
      <c r="A25" s="9"/>
      <c r="B25" s="9"/>
      <c r="C25" s="9"/>
      <c r="D25" s="9"/>
      <c r="E25" s="9"/>
      <c r="F25" s="9"/>
      <c r="G25" s="9"/>
      <c r="H25" s="9"/>
      <c r="I25" s="9"/>
      <c r="J25" s="9"/>
    </row>
    <row r="26" spans="1:10" ht="18" customHeight="1" x14ac:dyDescent="0.55000000000000004">
      <c r="A26" s="13"/>
      <c r="B26" s="13"/>
      <c r="C26" s="13"/>
      <c r="D26" s="13"/>
      <c r="E26" s="13"/>
      <c r="F26" s="13"/>
      <c r="G26" s="13"/>
      <c r="H26" s="13"/>
      <c r="I26" s="13"/>
      <c r="J26" s="13"/>
    </row>
    <row r="27" spans="1:10" ht="18" customHeight="1" x14ac:dyDescent="0.55000000000000004">
      <c r="A27" s="9"/>
      <c r="B27" s="9"/>
      <c r="C27" s="9"/>
      <c r="D27" s="9"/>
      <c r="E27" s="9"/>
      <c r="F27" s="9"/>
      <c r="G27" s="9"/>
      <c r="H27" s="9"/>
      <c r="I27" s="9"/>
      <c r="J27" s="9"/>
    </row>
    <row r="28" spans="1:10" ht="18" customHeight="1" x14ac:dyDescent="0.55000000000000004">
      <c r="A28" s="13"/>
      <c r="B28" s="13"/>
      <c r="C28" s="13"/>
      <c r="D28" s="13"/>
      <c r="E28" s="13"/>
      <c r="F28" s="13"/>
      <c r="G28" s="13"/>
      <c r="H28" s="13"/>
      <c r="I28" s="13"/>
      <c r="J28" s="13"/>
    </row>
    <row r="29" spans="1:10" ht="18" customHeight="1" x14ac:dyDescent="0.55000000000000004">
      <c r="A29" s="9"/>
      <c r="B29" s="9"/>
      <c r="C29" s="9"/>
      <c r="D29" s="9"/>
      <c r="E29" s="9"/>
      <c r="F29" s="9"/>
      <c r="G29" s="9"/>
      <c r="H29" s="9"/>
      <c r="I29" s="9"/>
      <c r="J29" s="9"/>
    </row>
    <row r="30" spans="1:10" ht="18" customHeight="1" x14ac:dyDescent="0.55000000000000004">
      <c r="A30" s="13"/>
      <c r="B30" s="13"/>
      <c r="C30" s="13"/>
      <c r="D30" s="13"/>
      <c r="E30" s="13"/>
      <c r="F30" s="13"/>
      <c r="G30" s="13"/>
      <c r="H30" s="13"/>
      <c r="I30" s="13"/>
      <c r="J30" s="13"/>
    </row>
    <row r="31" spans="1:10" ht="18" customHeight="1" x14ac:dyDescent="0.55000000000000004">
      <c r="A31" s="9"/>
      <c r="B31" s="9"/>
      <c r="C31" s="9"/>
      <c r="D31" s="9"/>
      <c r="E31" s="9"/>
      <c r="F31" s="9"/>
      <c r="G31" s="9"/>
      <c r="H31" s="9"/>
      <c r="I31" s="9"/>
      <c r="J31" s="9"/>
    </row>
    <row r="32" spans="1:10" ht="18" customHeight="1" x14ac:dyDescent="0.55000000000000004">
      <c r="A32" s="13"/>
      <c r="B32" s="13"/>
      <c r="C32" s="13"/>
      <c r="D32" s="13"/>
      <c r="E32" s="13"/>
      <c r="F32" s="13"/>
      <c r="G32" s="13"/>
      <c r="H32" s="13"/>
      <c r="I32" s="13"/>
      <c r="J32" s="13"/>
    </row>
    <row r="33" spans="1:10" ht="18" customHeight="1" x14ac:dyDescent="0.55000000000000004">
      <c r="A33" s="9"/>
      <c r="B33" s="9"/>
      <c r="C33" s="9"/>
      <c r="D33" s="9"/>
      <c r="E33" s="9"/>
      <c r="F33" s="9"/>
      <c r="G33" s="9"/>
      <c r="H33" s="9"/>
      <c r="I33" s="9"/>
      <c r="J33" s="9"/>
    </row>
    <row r="34" spans="1:10" ht="18" customHeight="1" x14ac:dyDescent="0.55000000000000004">
      <c r="A34" s="13"/>
      <c r="B34" s="13"/>
      <c r="C34" s="13"/>
      <c r="D34" s="13"/>
      <c r="E34" s="13"/>
      <c r="F34" s="13"/>
      <c r="G34" s="13"/>
      <c r="H34" s="13"/>
      <c r="I34" s="13"/>
      <c r="J34" s="13"/>
    </row>
    <row r="35" spans="1:10" ht="18" customHeight="1" x14ac:dyDescent="0.55000000000000004">
      <c r="A35" s="9"/>
      <c r="B35" s="9"/>
      <c r="C35" s="9"/>
      <c r="D35" s="9"/>
      <c r="E35" s="9"/>
      <c r="F35" s="9"/>
      <c r="G35" s="9"/>
      <c r="H35" s="9"/>
      <c r="I35" s="9"/>
      <c r="J35" s="9"/>
    </row>
    <row r="36" spans="1:10" ht="18" customHeight="1" x14ac:dyDescent="0.55000000000000004">
      <c r="A36" s="13"/>
      <c r="B36" s="13"/>
      <c r="C36" s="13"/>
      <c r="D36" s="13"/>
      <c r="E36" s="13"/>
      <c r="F36" s="13"/>
      <c r="G36" s="13"/>
      <c r="H36" s="13"/>
      <c r="I36" s="13"/>
      <c r="J36" s="13"/>
    </row>
    <row r="37" spans="1:10" ht="18" customHeight="1" x14ac:dyDescent="0.55000000000000004">
      <c r="A37" s="9"/>
      <c r="B37" s="9"/>
      <c r="C37" s="9"/>
      <c r="D37" s="9"/>
      <c r="E37" s="9"/>
      <c r="F37" s="9"/>
      <c r="G37" s="9"/>
      <c r="H37" s="9"/>
      <c r="I37" s="9"/>
      <c r="J37" s="9"/>
    </row>
    <row r="38" spans="1:10" ht="18" customHeight="1" x14ac:dyDescent="0.55000000000000004">
      <c r="A38" s="13"/>
      <c r="B38" s="13"/>
      <c r="C38" s="13"/>
      <c r="D38" s="13"/>
      <c r="E38" s="13"/>
      <c r="F38" s="13"/>
      <c r="G38" s="13"/>
      <c r="H38" s="13"/>
      <c r="I38" s="13"/>
      <c r="J38" s="13"/>
    </row>
    <row r="39" spans="1:10" ht="18" customHeight="1" x14ac:dyDescent="0.55000000000000004">
      <c r="A39" s="9"/>
      <c r="B39" s="9"/>
      <c r="C39" s="9"/>
      <c r="D39" s="9"/>
      <c r="E39" s="9"/>
      <c r="F39" s="9"/>
      <c r="G39" s="9"/>
      <c r="H39" s="9"/>
      <c r="I39" s="9"/>
      <c r="J39" s="9"/>
    </row>
    <row r="40" spans="1:10" ht="18" customHeight="1" x14ac:dyDescent="0.55000000000000004">
      <c r="A40" s="13"/>
      <c r="B40" s="13"/>
      <c r="C40" s="13"/>
      <c r="D40" s="13"/>
      <c r="E40" s="13"/>
      <c r="F40" s="13"/>
      <c r="G40" s="13"/>
      <c r="H40" s="13"/>
      <c r="I40" s="13"/>
      <c r="J40" s="13"/>
    </row>
    <row r="41" spans="1:10" ht="18" customHeight="1" x14ac:dyDescent="0.55000000000000004">
      <c r="A41" s="9"/>
      <c r="B41" s="9"/>
      <c r="C41" s="9"/>
      <c r="D41" s="9"/>
      <c r="E41" s="9"/>
      <c r="F41" s="9"/>
      <c r="G41" s="9"/>
      <c r="H41" s="9"/>
      <c r="I41" s="9"/>
      <c r="J41" s="9"/>
    </row>
    <row r="42" spans="1:10" ht="18" customHeight="1" x14ac:dyDescent="0.55000000000000004">
      <c r="A42" s="13"/>
      <c r="B42" s="13"/>
      <c r="C42" s="13"/>
      <c r="D42" s="13"/>
      <c r="E42" s="13"/>
      <c r="F42" s="13"/>
      <c r="G42" s="13"/>
      <c r="H42" s="13"/>
      <c r="I42" s="13"/>
      <c r="J42" s="13"/>
    </row>
    <row r="43" spans="1:10" ht="18" customHeight="1" x14ac:dyDescent="0.55000000000000004">
      <c r="A43" s="9"/>
      <c r="B43" s="9"/>
      <c r="C43" s="9"/>
      <c r="D43" s="9"/>
      <c r="E43" s="9"/>
      <c r="F43" s="9"/>
      <c r="G43" s="9"/>
      <c r="H43" s="9"/>
      <c r="I43" s="9"/>
      <c r="J43" s="9"/>
    </row>
    <row r="44" spans="1:10" ht="18" customHeight="1" x14ac:dyDescent="0.55000000000000004">
      <c r="A44" s="13"/>
      <c r="B44" s="13"/>
      <c r="C44" s="13"/>
      <c r="D44" s="13"/>
      <c r="E44" s="13"/>
      <c r="F44" s="13"/>
      <c r="G44" s="13"/>
      <c r="H44" s="13"/>
      <c r="I44" s="13"/>
      <c r="J44" s="13"/>
    </row>
    <row r="45" spans="1:10" ht="18" customHeight="1" x14ac:dyDescent="0.55000000000000004">
      <c r="A45" s="9"/>
      <c r="B45" s="9"/>
      <c r="C45" s="9"/>
      <c r="D45" s="9"/>
      <c r="E45" s="9"/>
      <c r="F45" s="9"/>
      <c r="G45" s="9"/>
      <c r="H45" s="9"/>
      <c r="I45" s="9"/>
      <c r="J45" s="9"/>
    </row>
    <row r="46" spans="1:10" ht="18" customHeight="1" x14ac:dyDescent="0.55000000000000004">
      <c r="A46" s="13"/>
      <c r="B46" s="13"/>
      <c r="C46" s="13"/>
      <c r="D46" s="13"/>
      <c r="E46" s="13"/>
      <c r="F46" s="13"/>
      <c r="G46" s="13"/>
      <c r="H46" s="13"/>
      <c r="I46" s="13"/>
      <c r="J46" s="13"/>
    </row>
    <row r="47" spans="1:10" ht="18" customHeight="1" x14ac:dyDescent="0.55000000000000004">
      <c r="A47" s="9"/>
      <c r="B47" s="9"/>
      <c r="C47" s="9"/>
      <c r="D47" s="9"/>
      <c r="E47" s="9"/>
      <c r="F47" s="9"/>
      <c r="G47" s="9"/>
      <c r="H47" s="9"/>
      <c r="I47" s="9"/>
      <c r="J47" s="9"/>
    </row>
    <row r="48" spans="1:10" ht="18" customHeight="1" x14ac:dyDescent="0.55000000000000004">
      <c r="A48" s="13"/>
      <c r="B48" s="13"/>
      <c r="C48" s="13"/>
      <c r="D48" s="13"/>
      <c r="E48" s="13"/>
      <c r="F48" s="13"/>
      <c r="G48" s="13"/>
      <c r="H48" s="13"/>
      <c r="I48" s="13"/>
      <c r="J48" s="13"/>
    </row>
    <row r="49" spans="1:10" ht="18" customHeight="1" x14ac:dyDescent="0.55000000000000004">
      <c r="A49" s="9"/>
      <c r="B49" s="9"/>
      <c r="C49" s="9"/>
      <c r="D49" s="9"/>
      <c r="E49" s="9"/>
      <c r="F49" s="9"/>
      <c r="G49" s="9"/>
      <c r="H49" s="9"/>
      <c r="I49" s="9"/>
      <c r="J49" s="9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showGridLines="0" workbookViewId="0">
      <selection sqref="A1:E1"/>
    </sheetView>
  </sheetViews>
  <sheetFormatPr defaultRowHeight="14.4" x14ac:dyDescent="0.55000000000000004"/>
  <cols>
    <col min="1" max="1" width="28" customWidth="1"/>
    <col min="2" max="3" width="18" customWidth="1"/>
    <col min="4" max="4" width="28" customWidth="1"/>
    <col min="5" max="5" width="18" customWidth="1"/>
  </cols>
  <sheetData>
    <row r="1" spans="1:5" ht="30" customHeight="1" x14ac:dyDescent="0.55000000000000004">
      <c r="A1" s="39" t="s">
        <v>44</v>
      </c>
      <c r="B1" s="35"/>
      <c r="C1" s="35"/>
      <c r="D1" s="35"/>
      <c r="E1" s="35"/>
    </row>
    <row r="3" spans="1:5" ht="22" customHeight="1" x14ac:dyDescent="0.55000000000000004">
      <c r="A3" s="14" t="s">
        <v>45</v>
      </c>
      <c r="B3" s="15">
        <f>COUNTA('Subject Set Tracker'!A4:A199)</f>
        <v>4</v>
      </c>
      <c r="D3" s="38" t="s">
        <v>46</v>
      </c>
      <c r="E3" s="35"/>
    </row>
    <row r="4" spans="1:5" ht="15" x14ac:dyDescent="0.55000000000000004">
      <c r="D4" s="40">
        <f ca="1">TODAY()</f>
        <v>46106</v>
      </c>
      <c r="E4" s="35"/>
    </row>
    <row r="5" spans="1:5" ht="22" customHeight="1" x14ac:dyDescent="0.55000000000000004">
      <c r="A5" s="14" t="s">
        <v>47</v>
      </c>
      <c r="B5" s="15">
        <f>SUM('Subject Set Tracker'!F4:F199)</f>
        <v>263</v>
      </c>
    </row>
    <row r="6" spans="1:5" x14ac:dyDescent="0.55000000000000004">
      <c r="D6" s="16" t="s">
        <v>48</v>
      </c>
      <c r="E6" s="17"/>
    </row>
    <row r="7" spans="1:5" ht="18" customHeight="1" x14ac:dyDescent="0.55000000000000004">
      <c r="A7" s="14" t="s">
        <v>49</v>
      </c>
      <c r="B7" s="15">
        <f>COUNTIF('Subject Set Tracker'!E4:E199,"?*")</f>
        <v>0</v>
      </c>
      <c r="D7" s="18" t="s">
        <v>16</v>
      </c>
      <c r="E7" s="19"/>
    </row>
    <row r="8" spans="1:5" ht="18" customHeight="1" x14ac:dyDescent="0.55000000000000004">
      <c r="D8" s="20" t="s">
        <v>18</v>
      </c>
      <c r="E8" s="21"/>
    </row>
    <row r="9" spans="1:5" ht="18" customHeight="1" x14ac:dyDescent="0.55000000000000004">
      <c r="A9" s="22" t="s">
        <v>16</v>
      </c>
      <c r="B9" s="23">
        <f>COUNTIF('Subject Set Tracker'!M4:M199,"Complete")</f>
        <v>0</v>
      </c>
      <c r="D9" s="24" t="s">
        <v>17</v>
      </c>
      <c r="E9" s="25"/>
    </row>
    <row r="10" spans="1:5" ht="18" customHeight="1" x14ac:dyDescent="0.55000000000000004">
      <c r="D10" s="26" t="s">
        <v>19</v>
      </c>
      <c r="E10" s="27"/>
    </row>
    <row r="11" spans="1:5" ht="18" customHeight="1" x14ac:dyDescent="0.55000000000000004">
      <c r="A11" s="14" t="s">
        <v>18</v>
      </c>
      <c r="B11" s="15">
        <f>COUNTIF('Subject Set Tracker'!M4:M199,"In Progress")</f>
        <v>4</v>
      </c>
      <c r="D11" s="28" t="s">
        <v>50</v>
      </c>
      <c r="E11" s="29"/>
    </row>
    <row r="13" spans="1:5" ht="22" customHeight="1" x14ac:dyDescent="0.55000000000000004">
      <c r="A13" s="30" t="s">
        <v>17</v>
      </c>
      <c r="B13" s="31">
        <f>COUNTIF('Subject Set Tracker'!M4:M199,"Awaiting Export")</f>
        <v>0</v>
      </c>
    </row>
    <row r="15" spans="1:5" ht="22" customHeight="1" x14ac:dyDescent="0.55000000000000004">
      <c r="A15" s="32" t="s">
        <v>19</v>
      </c>
      <c r="B15" s="33">
        <f>COUNTIF('Subject Set Tracker'!M4:M199,"Not Uploaded")</f>
        <v>0</v>
      </c>
    </row>
  </sheetData>
  <mergeCells count="3">
    <mergeCell ref="D3:E3"/>
    <mergeCell ref="A1:E1"/>
    <mergeCell ref="D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Subject Set Tracker</vt:lpstr>
      <vt:lpstr>Script Version Log</vt:lpstr>
      <vt:lpstr>Export Log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Megan Williams (she/her)</cp:lastModifiedBy>
  <dcterms:created xsi:type="dcterms:W3CDTF">2026-03-24T19:50:14Z</dcterms:created>
  <dcterms:modified xsi:type="dcterms:W3CDTF">2026-03-25T15:16:02Z</dcterms:modified>
</cp:coreProperties>
</file>